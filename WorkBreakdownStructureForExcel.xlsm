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32400" windowWidth="28800" windowHeight="12345" activeTab="4"/>
  </bookViews>
  <sheets>
    <sheet name="Help" sheetId="6" r:id="rId1"/>
    <sheet name="Tmp" sheetId="9" state="veryHidden" r:id="rId2"/>
    <sheet name="Notice" sheetId="5" r:id="rId3"/>
    <sheet name="設定" sheetId="4" r:id="rId4"/>
    <sheet name="メイン" sheetId="2" r:id="rId5"/>
    <sheet name="サンプル" sheetId="7" state="veryHidden" r:id="rId6"/>
    <sheet name="チームプランナー" sheetId="11" state="veryHidden" r:id="rId7"/>
  </sheets>
  <functionGroups builtInGroupCount="18"/>
  <externalReferences>
    <externalReference r:id="rId8"/>
  </externalReferences>
  <definedNames>
    <definedName name="baseDay">設定!$B$8</definedName>
    <definedName name="calendarEndCol">設定!$B$13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設定!$B$53</definedName>
    <definedName name="cell_LevelInfo">設定!$B$52</definedName>
    <definedName name="cell_LineInfo">設定!$B$54</definedName>
    <definedName name="cell_ShortcutFuncName">設定!$B$14</definedName>
    <definedName name="cell_ShortcutKey">設定!$B$15</definedName>
    <definedName name="cell_TaskArea">設定!$B$55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設定!$B$28</definedName>
    <definedName name="debugMode">設定!$B$3</definedName>
    <definedName name="dispAllKey">設定!$I$10</definedName>
    <definedName name="endDay">設定!$B$7</definedName>
    <definedName name="filterKey">設定!$I$5</definedName>
    <definedName name="lineColor">設定!$B$25</definedName>
    <definedName name="lineColor_Achievement">設定!$B$30</definedName>
    <definedName name="lineColor_Lightning">設定!$B$31</definedName>
    <definedName name="lineColor_Plan">設定!$B$29</definedName>
    <definedName name="lineColor_TaskLevel1">設定!$B$32</definedName>
    <definedName name="lineColor_TaskLevel2">設定!$B$33</definedName>
    <definedName name="lineColor_TaskLevel3">設定!$B$34</definedName>
    <definedName name="lineColorFlg">設定!$B$23</definedName>
    <definedName name="makeGanttKey">設定!$I$8</definedName>
    <definedName name="optionKey">設定!$I$3</definedName>
    <definedName name="SaturdayColor">設定!$B$26</definedName>
    <definedName name="ScaleKey">設定!$I$12</definedName>
    <definedName name="setDispProgress100">設定!$B$24</definedName>
    <definedName name="setLightning">設定!$B$22</definedName>
    <definedName name="sheetRangeStartCell">設定!$B$5</definedName>
    <definedName name="startDay">設定!$B$6</definedName>
    <definedName name="SundayColor">設定!$B$27</definedName>
    <definedName name="taskCheckKey">設定!$I$7</definedName>
    <definedName name="taskControlKey">設定!$I$11</definedName>
    <definedName name="TaskInfoStr_Change">設定!$B$11</definedName>
    <definedName name="TaskInfoStr_Multi">設定!$B$10</definedName>
    <definedName name="TaskInfoStr_TimeLine">設定!$B$12</definedName>
    <definedName name="view_Achievement">設定!$B$38</definedName>
    <definedName name="view_Assign">設定!$B$36</definedName>
    <definedName name="view_LateOrEarly">設定!$B$43</definedName>
    <definedName name="view_LineInfo">設定!$B$45</definedName>
    <definedName name="view_Note">設定!$B$44</definedName>
    <definedName name="view_Plan">設定!$B$35</definedName>
    <definedName name="view_Progress">設定!$B$37</definedName>
    <definedName name="view_Task">設定!$B$39</definedName>
    <definedName name="view_TaskAllocation">設定!$B$41</definedName>
    <definedName name="view_TaskInfo">設定!$B$40</definedName>
    <definedName name="view_WorkLoad">設定!$B$42</definedName>
    <definedName name="viewGant_Assignor">設定!$B$47</definedName>
    <definedName name="viewGant_TaskName">設定!$B$46</definedName>
    <definedName name="viewMode">設定!$B$9</definedName>
    <definedName name="workMode">設定!$B$4</definedName>
    <definedName name="休日リスト">設定!$O$3:$O$4</definedName>
    <definedName name="担当者">設定!$K$3:$K$38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0" i="2" l="1"/>
  <c r="G20" i="2"/>
  <c r="F20" i="2"/>
  <c r="Q13" i="2"/>
  <c r="G13" i="2"/>
  <c r="F13" i="2"/>
  <c r="Q12" i="2"/>
  <c r="G12" i="2"/>
  <c r="G7" i="2" s="1"/>
  <c r="G6" i="2" s="1"/>
  <c r="Q8" i="2"/>
  <c r="G8" i="2"/>
  <c r="F8" i="2"/>
  <c r="Q7" i="2"/>
  <c r="Q6" i="2"/>
  <c r="R25" i="2"/>
  <c r="R24" i="2"/>
  <c r="R21" i="2"/>
  <c r="R19" i="2"/>
  <c r="R18" i="2"/>
  <c r="R14" i="2"/>
  <c r="R6" i="2"/>
  <c r="F12" i="2" l="1"/>
  <c r="F7" i="2" s="1"/>
  <c r="F6" i="2" s="1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B20" i="2"/>
  <c r="B6" i="2"/>
  <c r="B10" i="2"/>
  <c r="B16" i="2"/>
  <c r="B25" i="2"/>
  <c r="B21" i="2"/>
  <c r="B11" i="2"/>
  <c r="B12" i="2"/>
  <c r="B13" i="2"/>
  <c r="B9" i="2"/>
  <c r="B19" i="2"/>
  <c r="B22" i="2"/>
  <c r="B18" i="2"/>
  <c r="B14" i="2"/>
  <c r="B8" i="2"/>
  <c r="B23" i="2"/>
  <c r="B17" i="2"/>
  <c r="B7" i="2"/>
  <c r="B15" i="2"/>
  <c r="B24" i="2"/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Q18" i="7"/>
  <c r="Q17" i="7"/>
  <c r="R16" i="7"/>
  <c r="Q16" i="7"/>
  <c r="Q15" i="7"/>
  <c r="Q14" i="7"/>
  <c r="Q13" i="7"/>
  <c r="R12" i="7"/>
  <c r="Q12" i="7"/>
  <c r="R11" i="7"/>
  <c r="Q11" i="7"/>
  <c r="R10" i="7"/>
  <c r="Q10" i="7"/>
  <c r="R9" i="7"/>
  <c r="Q9" i="7"/>
  <c r="R8" i="7"/>
  <c r="Q8" i="7"/>
  <c r="R7" i="7"/>
  <c r="Q7" i="7"/>
  <c r="R6" i="7"/>
  <c r="Q6" i="7"/>
</calcChain>
</file>

<file path=xl/comments1.xml><?xml version="1.0" encoding="utf-8"?>
<comments xmlns="http://schemas.openxmlformats.org/spreadsheetml/2006/main">
  <authors>
    <author>Bumpei.Koizumi</author>
  </authors>
  <commentList>
    <comment ref="AX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Y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  <author>Bumpei.Koizumi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1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1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1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<sst xmlns="http://schemas.openxmlformats.org/spreadsheetml/2006/main" count="477" uniqueCount="346">
  <si>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</si>
  <si>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</si>
  <si>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</si>
  <si>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</si>
  <si>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</si>
  <si>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</si>
  <si>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</si>
  <si>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</si>
  <si>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</si>
  <si>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</si>
  <si>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</si>
  <si>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</si>
  <si>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</si>
  <si>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</si>
  <si>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</si>
  <si>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</si>
  <si>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</si>
  <si>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</si>
  <si>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</si>
  <si>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</si>
  <si>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</si>
  <si>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</si>
  <si>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</si>
  <si>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</si>
  <si>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</si>
  <si>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</si>
  <si>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</si>
  <si>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</si>
  <si>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</si>
  <si>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</si>
  <si>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</si>
  <si>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</si>
  <si>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</si>
  <si>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</si>
  <si>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</si>
  <si>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</si>
  <si>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</si>
  <si>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</si>
  <si>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</si>
  <si>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</si>
  <si>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</si>
  <si>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</si>
  <si>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</si>
  <si>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</si>
  <si>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</si>
  <si>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</si>
  <si>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</si>
  <si>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</si>
  <si>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</si>
  <si>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</si>
  <si>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</si>
  <si>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</si>
  <si>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</si>
  <si>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</si>
  <si>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</si>
  <si>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</si>
  <si>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</si>
  <si>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</si>
  <si>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</si>
  <si>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</si>
  <si>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</si>
  <si>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</si>
  <si>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</si>
  <si>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</si>
  <si>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</si>
  <si>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</si>
  <si>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</si>
  <si>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</si>
  <si>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</si>
  <si>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</si>
  <si>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</si>
  <si>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</si>
  <si>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</si>
  <si>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</si>
  <si>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</si>
  <si>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</si>
  <si>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</si>
  <si>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</si>
  <si>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</si>
  <si>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</si>
  <si>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</si>
  <si>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</si>
  <si>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</si>
  <si>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</si>
  <si>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</si>
  <si>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</si>
  <si>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</si>
  <si>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</si>
  <si>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</si>
  <si>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</si>
  <si>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</si>
  <si>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</si>
  <si>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先行タスク</t>
    <phoneticPr fontId="22"/>
  </si>
  <si>
    <t>endDay</t>
    <phoneticPr fontId="20"/>
  </si>
  <si>
    <t>baseDay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</si>
  <si>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</si>
  <si>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</si>
  <si>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</si>
  <si>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</si>
  <si>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</si>
  <si>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</si>
  <si>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</si>
  <si>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</si>
  <si>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</si>
  <si>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</si>
  <si>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</si>
  <si>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</si>
  <si>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</si>
  <si>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</si>
  <si>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</si>
  <si>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</si>
  <si>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</si>
  <si>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</si>
  <si>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</si>
  <si>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</si>
  <si>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</si>
  <si>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</si>
  <si>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</si>
  <si>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</si>
  <si>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</si>
  <si>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</si>
  <si>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</si>
  <si>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</si>
  <si>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</si>
  <si>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</si>
  <si>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</si>
  <si>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</si>
  <si>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</si>
  <si>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</si>
  <si>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</si>
  <si>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</si>
  <si>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</si>
  <si>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</si>
  <si>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</si>
  <si>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</si>
  <si>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</si>
  <si>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</si>
  <si>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</si>
  <si>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</si>
  <si>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</si>
  <si>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</si>
  <si>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</si>
  <si>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</si>
  <si>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</si>
  <si>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</si>
  <si>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</si>
  <si>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作成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</si>
  <si>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</si>
  <si>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</si>
  <si>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</si>
  <si>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</si>
  <si>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</si>
  <si>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</si>
  <si>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</si>
  <si>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</si>
  <si>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</si>
  <si>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</si>
  <si>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</si>
  <si>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</si>
  <si>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</si>
  <si>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</si>
  <si>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</si>
  <si>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</si>
  <si>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</si>
  <si>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</si>
  <si>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</si>
  <si>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</si>
  <si>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</si>
  <si>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</si>
  <si>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</si>
  <si>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</si>
  <si>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</si>
  <si>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</si>
  <si>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</si>
  <si>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</si>
  <si>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</si>
  <si>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</si>
  <si>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</si>
  <si>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</si>
  <si>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K</t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</si>
  <si>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</si>
  <si>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</si>
  <si>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</si>
  <si>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</si>
  <si>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</si>
  <si>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</si>
  <si>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</si>
  <si>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</si>
  <si>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</si>
  <si>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</si>
  <si>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</si>
  <si>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</si>
  <si>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</si>
  <si>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</si>
  <si>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</si>
  <si>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</si>
  <si>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</si>
  <si>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</si>
  <si>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</si>
  <si>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</si>
  <si>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</si>
  <si>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</si>
  <si>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</si>
  <si>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</si>
  <si>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</si>
  <si>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</si>
  <si>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  <phoneticPr fontId="9"/>
  </si>
  <si>
    <t>タスク_I</t>
    <phoneticPr fontId="9"/>
  </si>
  <si>
    <t>デザイン修正_H</t>
    <phoneticPr fontId="9"/>
  </si>
  <si>
    <t>#</t>
    <phoneticPr fontId="9"/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</si>
  <si>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</si>
  <si>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</si>
  <si>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</si>
  <si>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</si>
  <si>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</si>
  <si>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</si>
  <si>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</si>
  <si>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</si>
  <si>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</si>
  <si>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</si>
  <si>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</si>
  <si>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</si>
  <si>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</si>
  <si>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</si>
  <si>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</si>
  <si>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</si>
  <si>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</si>
  <si>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</si>
  <si>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</si>
  <si>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</si>
  <si>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</si>
  <si>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</si>
  <si>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</si>
  <si>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</si>
  <si>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</si>
  <si>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</si>
  <si>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全画面表示</t>
    <rPh sb="0" eb="3">
      <t>ゼンガメン</t>
    </rPh>
    <rPh sb="3" eb="5">
      <t>hy</t>
    </rPh>
    <phoneticPr fontId="22"/>
  </si>
  <si>
    <t>タスクのレベルを1段階ずつ上げる</t>
    <phoneticPr fontId="22"/>
  </si>
  <si>
    <t>タスクのレベルを1段階ずつ下げる</t>
    <rPh sb="13" eb="14">
      <t>サ</t>
    </rPh>
    <phoneticPr fontId="22"/>
  </si>
  <si>
    <t>選択したタスクをリンク</t>
  </si>
  <si>
    <t>選択したタスクのリンク解除</t>
  </si>
  <si>
    <t>選択したタスクを25%完了とする</t>
  </si>
  <si>
    <t>選択したタスクを50%完了とする</t>
  </si>
  <si>
    <t>選択したタスクを75%完了とする</t>
  </si>
  <si>
    <t>選択したタスクを100%完了とする</t>
  </si>
  <si>
    <t xml:space="preserve">選択したタスクを0%完了とする </t>
    <phoneticPr fontId="22"/>
  </si>
  <si>
    <t>選択したタスクをタイムラインに追加</t>
    <phoneticPr fontId="22"/>
  </si>
  <si>
    <t>選択したタスクにスクロール</t>
    <phoneticPr fontId="22"/>
  </si>
  <si>
    <t>Helpシートを表示</t>
    <rPh sb="8" eb="10">
      <t>ヒョウジ</t>
    </rPh>
    <phoneticPr fontId="26"/>
  </si>
  <si>
    <t>オプション設定画面を表示</t>
    <rPh sb="5" eb="7">
      <t>セッテイ</t>
    </rPh>
    <rPh sb="7" eb="9">
      <t>ガメン</t>
    </rPh>
    <rPh sb="10" eb="12">
      <t>ヒョウジ</t>
    </rPh>
    <phoneticPr fontId="22"/>
  </si>
  <si>
    <r>
      <t>予定日(開始)から遅早工数まで</t>
    </r>
    <r>
      <rPr>
        <sz val="10"/>
        <color theme="1"/>
        <rFont val="メイリオ"/>
        <family val="3"/>
        <charset val="128"/>
      </rPr>
      <t>列を並び替えた際に処理</t>
    </r>
    <rPh sb="15" eb="16">
      <t>レツ</t>
    </rPh>
    <rPh sb="17" eb="18">
      <t>ナラ</t>
    </rPh>
    <rPh sb="19" eb="20">
      <t>カ</t>
    </rPh>
    <rPh sb="22" eb="23">
      <t>サイ</t>
    </rPh>
    <rPh sb="24" eb="26">
      <t>ショリ</t>
    </rPh>
    <phoneticPr fontId="22"/>
  </si>
  <si>
    <t>カレンダー部分を生成</t>
    <rPh sb="5" eb="7">
      <t>ブブン</t>
    </rPh>
    <rPh sb="8" eb="10">
      <t>セイセイ</t>
    </rPh>
    <phoneticPr fontId="22"/>
  </si>
  <si>
    <t>ガントチャート</t>
    <phoneticPr fontId="22"/>
  </si>
  <si>
    <t>クリア</t>
    <phoneticPr fontId="22"/>
  </si>
  <si>
    <t>センター</t>
    <phoneticPr fontId="22"/>
  </si>
  <si>
    <t>生成</t>
    <rPh sb="0" eb="2">
      <t>セイセイ</t>
    </rPh>
    <phoneticPr fontId="22"/>
  </si>
  <si>
    <t>インポート</t>
    <phoneticPr fontId="22"/>
  </si>
  <si>
    <t>Excelファイル</t>
    <phoneticPr fontId="22"/>
  </si>
  <si>
    <t>CSVファイル</t>
    <phoneticPr fontId="22"/>
  </si>
  <si>
    <t>エクスポート</t>
    <phoneticPr fontId="22"/>
  </si>
  <si>
    <t>setLightning</t>
    <phoneticPr fontId="20"/>
  </si>
  <si>
    <t>workMode</t>
    <phoneticPr fontId="20"/>
  </si>
  <si>
    <t>viewMode</t>
    <phoneticPr fontId="20"/>
  </si>
  <si>
    <t>Normal</t>
    <phoneticPr fontId="20"/>
  </si>
  <si>
    <t>タスク_A</t>
  </si>
  <si>
    <t>タスク_E</t>
  </si>
  <si>
    <t>タスク_I</t>
  </si>
  <si>
    <t>デザイン制作_A、B、外A</t>
  </si>
  <si>
    <t>Mlt</t>
  </si>
  <si>
    <t>デザイン制作_E</t>
  </si>
  <si>
    <t>デザイン制作_I</t>
  </si>
  <si>
    <t>デザイン修正_A、B</t>
  </si>
  <si>
    <t>デザイン修正_E</t>
  </si>
  <si>
    <t>デザイン修正_H</t>
  </si>
  <si>
    <t>CD部</t>
  </si>
  <si>
    <t>cell_TaskArea</t>
  </si>
  <si>
    <t>E</t>
  </si>
  <si>
    <t>cell_PlanStart</t>
  </si>
  <si>
    <t>F</t>
  </si>
  <si>
    <t>cell_PlanEnd</t>
  </si>
  <si>
    <t>G</t>
  </si>
  <si>
    <t>H</t>
  </si>
  <si>
    <t>cell_AchievementStart</t>
  </si>
  <si>
    <t>I</t>
  </si>
  <si>
    <t>cell_AchievementEnd</t>
  </si>
  <si>
    <t>J</t>
  </si>
  <si>
    <t>cell_ProgressLast</t>
  </si>
  <si>
    <t>cell_Progress</t>
  </si>
  <si>
    <t>L</t>
  </si>
  <si>
    <t>cell_TaskAllocation</t>
  </si>
  <si>
    <t>M</t>
  </si>
  <si>
    <t>cell_Task</t>
  </si>
  <si>
    <t>N</t>
  </si>
  <si>
    <t>cell_TaskInfoP</t>
  </si>
  <si>
    <t>O</t>
  </si>
  <si>
    <t>cell_TaskInfoC</t>
  </si>
  <si>
    <t>P</t>
  </si>
  <si>
    <t>cell_WorkLoadP</t>
  </si>
  <si>
    <t>Q</t>
  </si>
  <si>
    <t>cell_WorkLoadA</t>
  </si>
  <si>
    <t>R</t>
  </si>
  <si>
    <t>cell_LateOrEarly</t>
  </si>
  <si>
    <t>S</t>
  </si>
  <si>
    <t>cell_Note</t>
  </si>
  <si>
    <t>T</t>
  </si>
  <si>
    <t>calendarStartCol</t>
  </si>
  <si>
    <t>U</t>
  </si>
  <si>
    <t>敬老の日</t>
  </si>
  <si>
    <t>秋分の日</t>
  </si>
  <si>
    <t>all</t>
  </si>
  <si>
    <t>CE</t>
    <phoneticPr fontId="20"/>
  </si>
  <si>
    <t>1-3．ショートカット</t>
    <phoneticPr fontId="26"/>
  </si>
  <si>
    <t>1-3．ショートカット</t>
    <phoneticPr fontId="22"/>
  </si>
  <si>
    <t>ExcelError：インデックスが有効範囲にありません。</t>
    <phoneticPr fontId="36"/>
  </si>
  <si>
    <t>ExcelError：型が一致しません。</t>
    <phoneticPr fontId="26"/>
  </si>
  <si>
    <t>ExcelError：オブジェクト変数または With ブロック変数が設定されていません。</t>
    <phoneticPr fontId="36"/>
  </si>
  <si>
    <t>ExcelError：アプリケーション定義またはオブジェクト定義のエラーです。</t>
    <rPh sb="19" eb="21">
      <t>テイギ</t>
    </rPh>
    <rPh sb="30" eb="32">
      <t>テイギ</t>
    </rPh>
    <phoneticPr fontId="26"/>
  </si>
  <si>
    <t>エラーが発生しました</t>
    <rPh sb="4" eb="6">
      <t>ハッセイ</t>
    </rPh>
    <phoneticPr fontId="36"/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</si>
  <si>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</si>
  <si>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</si>
  <si>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</si>
  <si>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</si>
  <si>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&lt;%%&gt;取得処理が完了しました</t>
    <rPh sb="4" eb="6">
      <t>シュトク</t>
    </rPh>
    <phoneticPr fontId="22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</si>
  <si>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</si>
  <si>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</si>
  <si>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</si>
  <si>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</si>
  <si>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インストールバージョンが一致しません</t>
    <rPh sb="12" eb="14">
      <t>イッチ</t>
    </rPh>
    <phoneticPr fontId="26"/>
  </si>
  <si>
    <t>インストールファイルが存在しません</t>
    <rPh sb="11" eb="13">
      <t>ソンザイ</t>
    </rPh>
    <phoneticPr fontId="26"/>
  </si>
  <si>
    <t>&lt;%%&gt;ファイルが存在しません</t>
  </si>
  <si>
    <t>&lt;%%&gt;シートが存在しません</t>
  </si>
  <si>
    <t>&lt;%%&gt;データが存在しません</t>
  </si>
  <si>
    <t>同名ファイル&lt;%%&gt;が開かれています</t>
  </si>
  <si>
    <t>ヘッダーの項目が異なります</t>
  </si>
  <si>
    <t>インポートテスト用WBS.xlsm</t>
  </si>
  <si>
    <t>C:\WorkSpace\02.Excelヘルプ\大134_スケジュール統合\インポートテスト用ファイル\インポートテスト用WBS.xlsm</t>
  </si>
  <si>
    <t>ランディングページ制作</t>
  </si>
  <si>
    <t>＋</t>
  </si>
  <si>
    <t>要員A,要員B,外注A</t>
  </si>
  <si>
    <t>要員A,要員B</t>
  </si>
  <si>
    <t>7:25</t>
  </si>
  <si>
    <t>8:25</t>
  </si>
  <si>
    <t>9:11</t>
  </si>
  <si>
    <t>13:25</t>
  </si>
  <si>
    <t>14:19</t>
  </si>
  <si>
    <t>21:25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</si>
</sst>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u/>
      <sz val="10"/>
      <color theme="11"/>
      <name val="メイリオ"/>
      <family val="3"/>
      <charset val="128"/>
    </font>
    <font>
      <sz val="9"/>
      <color indexed="81"/>
      <name val="MS P ゴシック"/>
      <family val="3"/>
      <charset val="128"/>
    </font>
    <font>
      <sz val="6"/>
      <name val="Meiryo UI"/>
      <family val="3"/>
      <charset val="128"/>
    </font>
  </fonts>
  <fills count="5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rgb="FFCCFFFF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57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  <xf numFmtId="0" fontId="34" fillId="0" borderId="0" applyNumberFormat="0" applyFill="0" applyBorder="0" applyAlignment="0" applyProtection="0">
      <alignment vertical="center"/>
      <protection locked="0"/>
    </xf>
    <xf numFmtId="0" fontId="33" fillId="0" borderId="0" applyNumberFormat="0" applyFill="0" applyBorder="0" applyAlignment="0" applyProtection="0">
      <alignment vertical="center"/>
      <protection locked="0"/>
    </xf>
  </cellStyleXfs>
  <cellXfs count="355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0" fontId="0" fillId="0" borderId="12" xfId="0" applyFill="1" applyBorder="1" applyAlignment="1">
      <alignment horizontal="left" vertical="center" wrapText="1"/>
      <protection locked="0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14" fontId="0" fillId="0" borderId="0" xfId="0" applyNumberFormat="1" applyFill="1" applyAlignment="1">
      <alignment wrapText="1"/>
      <protection locked="0"/>
    </xf>
    <xf numFmtId="0" fontId="0" fillId="0" borderId="27" xfId="0" applyNumberFormat="1" applyFill="1" applyBorder="1" applyAlignment="1" applyProtection="1">
      <alignment horizontal="center" vertical="center"/>
    </xf>
    <xf numFmtId="187" fontId="0" fillId="43" borderId="27" xfId="0" applyNumberFormat="1" applyFont="1" applyFill="1" applyBorder="1" applyAlignment="1" applyProtection="1">
      <alignment horizontal="centerContinuous" vertical="center" shrinkToFit="1"/>
    </xf>
    <xf numFmtId="187" fontId="0" fillId="43" borderId="28" xfId="0" applyNumberFormat="1" applyFont="1" applyFill="1" applyBorder="1" applyAlignment="1" applyProtection="1">
      <alignment horizontal="center" vertical="center" shrinkToFit="1"/>
    </xf>
    <xf numFmtId="187" fontId="0" fillId="0" borderId="28" xfId="0" applyNumberFormat="1" applyFill="1" applyBorder="1" applyAlignment="1" applyProtection="1">
      <alignment horizontal="center" vertical="center" wrapText="1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186" fontId="0" fillId="0" borderId="11" xfId="0" applyNumberFormat="1" applyFill="1" applyBorder="1" applyAlignment="1" applyProtection="1">
      <alignment horizontal="center" vertical="center"/>
    </xf>
    <xf numFmtId="0" fontId="0" fillId="0" borderId="27" xfId="0" applyBorder="1">
      <alignment vertical="center"/>
      <protection locked="0"/>
    </xf>
    <xf numFmtId="0" fontId="0" fillId="0" borderId="27" xfId="0" applyBorder="1" applyAlignment="1">
      <alignment horizontal="center" vertical="center"/>
      <protection locked="0"/>
    </xf>
    <xf numFmtId="0" fontId="0" fillId="0" borderId="0" xfId="0" applyNumberFormat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31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0" xfId="0" applyFont="1" applyProtection="1">
      <alignment vertical="center"/>
    </xf>
    <xf numFmtId="0" fontId="0" fillId="0" borderId="33" xfId="0" applyBorder="1">
      <alignment vertical="center"/>
      <protection locked="0"/>
    </xf>
    <xf numFmtId="0" fontId="28" fillId="0" borderId="34" xfId="0" applyFont="1" applyFill="1" applyBorder="1">
      <alignment vertical="center"/>
      <protection locked="0"/>
    </xf>
    <xf numFmtId="0" fontId="28" fillId="0" borderId="35" xfId="0" applyFont="1" applyFill="1" applyBorder="1">
      <alignment vertical="center"/>
      <protection locked="0"/>
    </xf>
    <xf numFmtId="0" fontId="28" fillId="0" borderId="36" xfId="0" applyFont="1" applyFill="1" applyBorder="1">
      <alignment vertical="center"/>
      <protection locked="0"/>
    </xf>
    <xf numFmtId="0" fontId="28" fillId="0" borderId="30" xfId="0" applyFont="1" applyFill="1" applyBorder="1">
      <alignment vertical="center"/>
      <protection locked="0"/>
    </xf>
    <xf numFmtId="0" fontId="28" fillId="0" borderId="33" xfId="0" applyFont="1" applyFill="1" applyBorder="1">
      <alignment vertical="center"/>
      <protection locked="0"/>
    </xf>
    <xf numFmtId="0" fontId="0" fillId="0" borderId="34" xfId="0" applyBorder="1">
      <alignment vertical="center"/>
      <protection locked="0"/>
    </xf>
    <xf numFmtId="0" fontId="28" fillId="0" borderId="37" xfId="0" applyFont="1" applyFill="1" applyBorder="1">
      <alignment vertical="center"/>
      <protection locked="0"/>
    </xf>
    <xf numFmtId="0" fontId="0" fillId="0" borderId="34" xfId="0" applyFont="1" applyFill="1" applyBorder="1" applyProtection="1">
      <alignment vertical="center"/>
    </xf>
    <xf numFmtId="0" fontId="0" fillId="0" borderId="38" xfId="0" applyFont="1" applyFill="1" applyBorder="1" applyProtection="1">
      <alignment vertical="center"/>
    </xf>
    <xf numFmtId="0" fontId="28" fillId="0" borderId="32" xfId="0" applyFont="1" applyFill="1" applyBorder="1" applyProtection="1">
      <alignment vertical="center"/>
    </xf>
    <xf numFmtId="0" fontId="28" fillId="0" borderId="39" xfId="0" applyFont="1" applyFill="1" applyBorder="1" applyProtection="1">
      <alignment vertical="center"/>
    </xf>
    <xf numFmtId="0" fontId="28" fillId="0" borderId="40" xfId="0" applyFont="1" applyFill="1" applyBorder="1" applyProtection="1">
      <alignment vertical="center"/>
    </xf>
    <xf numFmtId="0" fontId="28" fillId="0" borderId="34" xfId="0" applyFont="1" applyFill="1" applyBorder="1" applyProtection="1">
      <alignment vertical="center"/>
    </xf>
    <xf numFmtId="0" fontId="0" fillId="0" borderId="34" xfId="0" applyFont="1" applyFill="1" applyBorder="1">
      <alignment vertical="center"/>
      <protection locked="0"/>
    </xf>
    <xf numFmtId="0" fontId="28" fillId="0" borderId="39" xfId="0" applyFont="1" applyFill="1" applyBorder="1">
      <alignment vertical="center"/>
      <protection locked="0"/>
    </xf>
    <xf numFmtId="0" fontId="0" fillId="0" borderId="33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32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0" fontId="0" fillId="45" borderId="40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vertical="center" shrinkToFit="1"/>
    </xf>
    <xf numFmtId="0" fontId="28" fillId="0" borderId="40" xfId="0" applyFont="1" applyFill="1" applyBorder="1">
      <alignment vertical="center"/>
      <protection locked="0"/>
    </xf>
    <xf numFmtId="0" fontId="0" fillId="0" borderId="36" xfId="0" applyFont="1" applyFill="1" applyBorder="1">
      <alignment vertical="center"/>
      <protection locked="0"/>
    </xf>
    <xf numFmtId="0" fontId="0" fillId="0" borderId="10" xfId="0" applyFont="1" applyFill="1" applyBorder="1">
      <alignment vertical="center"/>
      <protection locked="0"/>
    </xf>
    <xf numFmtId="0" fontId="0" fillId="0" borderId="41" xfId="0" applyFill="1" applyBorder="1" applyAlignment="1">
      <alignment vertical="center" wrapText="1"/>
      <protection locked="0"/>
    </xf>
    <xf numFmtId="0" fontId="30" fillId="42" borderId="41" xfId="0" applyFont="1" applyFill="1" applyBorder="1" applyAlignment="1">
      <alignment horizontal="center" vertical="center" wrapText="1"/>
      <protection locked="0"/>
    </xf>
    <xf numFmtId="187" fontId="30" fillId="42" borderId="41" xfId="0" applyNumberFormat="1" applyFont="1" applyFill="1" applyBorder="1" applyAlignment="1">
      <alignment horizontal="center" vertical="center" wrapText="1"/>
      <protection locked="0"/>
    </xf>
    <xf numFmtId="3" fontId="0" fillId="0" borderId="41" xfId="0" applyNumberFormat="1" applyFill="1" applyBorder="1" applyAlignment="1">
      <alignment vertical="center" wrapText="1"/>
      <protection locked="0"/>
    </xf>
    <xf numFmtId="181" fontId="0" fillId="0" borderId="41" xfId="0" applyNumberFormat="1" applyBorder="1" applyAlignment="1">
      <alignment horizontal="center" vertical="center"/>
      <protection locked="0"/>
    </xf>
    <xf numFmtId="0" fontId="0" fillId="48" borderId="42" xfId="0" applyNumberFormat="1" applyFill="1" applyBorder="1" applyAlignment="1" applyProtection="1">
      <alignment vertical="center"/>
    </xf>
    <xf numFmtId="0" fontId="0" fillId="0" borderId="42" xfId="0" applyNumberFormat="1" applyBorder="1" applyAlignment="1">
      <alignment horizontal="center" vertical="center"/>
      <protection locked="0"/>
    </xf>
    <xf numFmtId="0" fontId="0" fillId="44" borderId="12" xfId="0" applyFill="1" applyBorder="1">
      <alignment vertical="center"/>
      <protection locked="0"/>
    </xf>
    <xf numFmtId="49" fontId="0" fillId="44" borderId="12" xfId="0" applyNumberFormat="1" applyFill="1" applyBorder="1" applyAlignment="1" applyProtection="1">
      <alignment horizontal="center" vertical="center"/>
    </xf>
    <xf numFmtId="0" fontId="0" fillId="44" borderId="27" xfId="0" applyFill="1" applyBorder="1">
      <alignment vertical="center"/>
      <protection locked="0"/>
    </xf>
    <xf numFmtId="0" fontId="0" fillId="44" borderId="22" xfId="0" applyFill="1" applyBorder="1" applyAlignment="1">
      <alignment horizontal="center" vertical="center"/>
      <protection locked="0"/>
    </xf>
    <xf numFmtId="181" fontId="0" fillId="44" borderId="22" xfId="0" applyNumberFormat="1" applyFill="1" applyBorder="1" applyAlignment="1">
      <alignment horizontal="center" vertical="center"/>
      <protection locked="0"/>
    </xf>
    <xf numFmtId="0" fontId="0" fillId="54" borderId="12" xfId="0" applyFill="1" applyBorder="1">
      <alignment vertical="center"/>
      <protection locked="0"/>
    </xf>
    <xf numFmtId="0" fontId="0" fillId="54" borderId="12" xfId="0" applyFill="1" applyBorder="1" applyAlignment="1">
      <alignment horizontal="center" vertical="center"/>
      <protection locked="0"/>
    </xf>
    <xf numFmtId="0" fontId="0" fillId="55" borderId="22" xfId="0" applyFill="1" applyBorder="1">
      <alignment vertical="center"/>
      <protection locked="0"/>
    </xf>
    <xf numFmtId="0" fontId="0" fillId="55" borderId="22" xfId="0" applyFill="1" applyBorder="1" applyAlignment="1">
      <alignment horizontal="center" vertical="center"/>
      <protection locked="0"/>
    </xf>
    <xf numFmtId="0" fontId="0" fillId="0" borderId="27" xfId="0" applyFill="1" applyBorder="1">
      <alignment vertical="center"/>
      <protection locked="0"/>
    </xf>
    <xf numFmtId="0" fontId="0" fillId="0" borderId="27" xfId="0" applyFill="1" applyBorder="1" applyAlignment="1">
      <alignment horizontal="center" vertical="center"/>
      <protection locked="0"/>
    </xf>
    <xf numFmtId="0" fontId="0" fillId="44" borderId="27" xfId="0" applyFill="1" applyBorder="1" applyAlignment="1">
      <alignment horizontal="center" vertical="center"/>
      <protection locked="0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0" xfId="0" applyNumberFormat="1" applyFill="1" applyBorder="1" applyAlignment="1" applyProtection="1">
      <alignment horizontal="center" vertical="center"/>
    </xf>
    <xf numFmtId="0" fontId="0" fillId="0" borderId="42" xfId="0" applyNumberFormat="1" applyFill="1" applyBorder="1" applyAlignment="1" applyProtection="1">
      <alignment horizontal="center" vertical="center"/>
    </xf>
    <xf numFmtId="184" fontId="0" fillId="0" borderId="26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6" borderId="23" xfId="0" applyNumberFormat="1" applyFill="1" applyBorder="1" applyAlignment="1" applyProtection="1">
      <alignment horizontal="center" vertical="center"/>
    </xf>
    <xf numFmtId="184" fontId="0" fillId="57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left" vertical="center"/>
    </xf>
    <xf numFmtId="186" fontId="0" fillId="0" borderId="40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left" vertical="center" shrinkToFit="1"/>
    </xf>
    <xf numFmtId="180" fontId="0" fillId="0" borderId="46" xfId="0" applyNumberFormat="1" applyFill="1" applyBorder="1" applyAlignment="1" applyProtection="1">
      <alignment horizontal="center" vertical="center"/>
    </xf>
    <xf numFmtId="182" fontId="0" fillId="0" borderId="46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left" vertical="center"/>
    </xf>
    <xf numFmtId="0" fontId="0" fillId="0" borderId="47" xfId="0" applyNumberFormat="1" applyFill="1" applyBorder="1" applyAlignment="1" applyProtection="1">
      <alignment horizontal="left" vertical="center"/>
    </xf>
    <xf numFmtId="0" fontId="0" fillId="0" borderId="48" xfId="0" applyNumberFormat="1" applyFill="1" applyBorder="1" applyAlignment="1" applyProtection="1">
      <alignment horizontal="center" vertical="center" wrapText="1"/>
    </xf>
    <xf numFmtId="49" fontId="0" fillId="0" borderId="49" xfId="0" applyNumberFormat="1" applyFill="1" applyBorder="1" applyAlignment="1" applyProtection="1">
      <alignment horizontal="center" vertical="center" wrapText="1"/>
    </xf>
    <xf numFmtId="187" fontId="0" fillId="0" borderId="49" xfId="0" applyNumberFormat="1" applyFill="1" applyBorder="1" applyAlignment="1" applyProtection="1">
      <alignment horizontal="center" vertical="center" wrapText="1"/>
    </xf>
    <xf numFmtId="186" fontId="0" fillId="0" borderId="47" xfId="0" applyNumberFormat="1" applyFill="1" applyBorder="1" applyAlignment="1" applyProtection="1">
      <alignment horizontal="center" vertical="center"/>
    </xf>
    <xf numFmtId="0" fontId="0" fillId="0" borderId="50" xfId="0" applyNumberFormat="1" applyFill="1" applyBorder="1" applyAlignment="1" applyProtection="1">
      <alignment vertical="center"/>
    </xf>
    <xf numFmtId="184" fontId="0" fillId="0" borderId="50" xfId="0" applyNumberFormat="1" applyFill="1" applyBorder="1" applyAlignment="1" applyProtection="1">
      <alignment horizontal="center" vertical="center"/>
    </xf>
    <xf numFmtId="184" fontId="0" fillId="0" borderId="49" xfId="0" applyNumberFormat="1" applyFill="1" applyBorder="1" applyAlignment="1" applyProtection="1">
      <alignment horizontal="center" vertical="center"/>
    </xf>
    <xf numFmtId="184" fontId="0" fillId="56" borderId="49" xfId="0" applyNumberFormat="1" applyFill="1" applyBorder="1" applyAlignment="1" applyProtection="1">
      <alignment horizontal="center" vertical="center"/>
    </xf>
    <xf numFmtId="184" fontId="0" fillId="57" borderId="49" xfId="0" applyNumberFormat="1" applyFill="1" applyBorder="1" applyAlignment="1" applyProtection="1">
      <alignment horizontal="center" vertical="center"/>
    </xf>
    <xf numFmtId="184" fontId="0" fillId="0" borderId="48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left" vertical="center" shrinkToFit="1"/>
    </xf>
    <xf numFmtId="180" fontId="0" fillId="0" borderId="54" xfId="0" applyNumberFormat="1" applyFill="1" applyBorder="1" applyAlignment="1" applyProtection="1">
      <alignment horizontal="center" vertical="center"/>
    </xf>
    <xf numFmtId="182" fontId="0" fillId="0" borderId="54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left" vertical="center"/>
    </xf>
    <xf numFmtId="0" fontId="0" fillId="0" borderId="55" xfId="0" applyNumberFormat="1" applyFill="1" applyBorder="1" applyAlignment="1" applyProtection="1">
      <alignment horizontal="left" vertical="center"/>
    </xf>
    <xf numFmtId="0" fontId="0" fillId="0" borderId="53" xfId="0" applyNumberFormat="1" applyFill="1" applyBorder="1" applyAlignment="1" applyProtection="1">
      <alignment horizontal="center" vertical="center" wrapText="1"/>
    </xf>
    <xf numFmtId="49" fontId="0" fillId="0" borderId="56" xfId="0" applyNumberFormat="1" applyFill="1" applyBorder="1" applyAlignment="1" applyProtection="1">
      <alignment horizontal="center" vertical="center" wrapText="1"/>
    </xf>
    <xf numFmtId="187" fontId="0" fillId="0" borderId="56" xfId="0" applyNumberFormat="1" applyFill="1" applyBorder="1" applyAlignment="1" applyProtection="1">
      <alignment horizontal="center" vertical="center" wrapText="1"/>
    </xf>
    <xf numFmtId="186" fontId="0" fillId="0" borderId="55" xfId="0" applyNumberFormat="1" applyFill="1" applyBorder="1" applyAlignment="1" applyProtection="1">
      <alignment horizontal="center" vertical="center"/>
    </xf>
    <xf numFmtId="0" fontId="0" fillId="0" borderId="57" xfId="0" applyNumberFormat="1" applyFill="1" applyBorder="1" applyAlignment="1" applyProtection="1">
      <alignment vertical="center"/>
    </xf>
    <xf numFmtId="184" fontId="0" fillId="0" borderId="57" xfId="0" applyNumberFormat="1" applyFill="1" applyBorder="1" applyAlignment="1" applyProtection="1">
      <alignment horizontal="center" vertical="center"/>
    </xf>
    <xf numFmtId="184" fontId="0" fillId="0" borderId="56" xfId="0" applyNumberFormat="1" applyFill="1" applyBorder="1" applyAlignment="1" applyProtection="1">
      <alignment horizontal="center" vertical="center"/>
    </xf>
    <xf numFmtId="184" fontId="0" fillId="56" borderId="56" xfId="0" applyNumberFormat="1" applyFill="1" applyBorder="1" applyAlignment="1" applyProtection="1">
      <alignment horizontal="center" vertical="center"/>
    </xf>
    <xf numFmtId="184" fontId="0" fillId="57" borderId="56" xfId="0" applyNumberFormat="1" applyFill="1" applyBorder="1" applyAlignment="1" applyProtection="1">
      <alignment horizontal="center" vertical="center"/>
    </xf>
    <xf numFmtId="184" fontId="0" fillId="0" borderId="53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left" vertical="center" shrinkToFit="1"/>
    </xf>
    <xf numFmtId="180" fontId="0" fillId="0" borderId="61" xfId="0" applyNumberFormat="1" applyFill="1" applyBorder="1" applyAlignment="1" applyProtection="1">
      <alignment horizontal="center" vertical="center"/>
    </xf>
    <xf numFmtId="182" fontId="0" fillId="0" borderId="61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left" vertical="center"/>
    </xf>
    <xf numFmtId="0" fontId="0" fillId="0" borderId="62" xfId="0" applyNumberFormat="1" applyFill="1" applyBorder="1" applyAlignment="1" applyProtection="1">
      <alignment horizontal="left" vertical="center"/>
    </xf>
    <xf numFmtId="0" fontId="0" fillId="0" borderId="63" xfId="0" applyNumberFormat="1" applyFill="1" applyBorder="1" applyAlignment="1" applyProtection="1">
      <alignment horizontal="center" vertical="center" wrapText="1"/>
    </xf>
    <xf numFmtId="49" fontId="0" fillId="0" borderId="64" xfId="0" applyNumberFormat="1" applyFill="1" applyBorder="1" applyAlignment="1" applyProtection="1">
      <alignment horizontal="center" vertical="center" wrapText="1"/>
    </xf>
    <xf numFmtId="187" fontId="0" fillId="0" borderId="64" xfId="0" applyNumberFormat="1" applyFill="1" applyBorder="1" applyAlignment="1" applyProtection="1">
      <alignment horizontal="center" vertical="center" wrapText="1"/>
    </xf>
    <xf numFmtId="186" fontId="0" fillId="0" borderId="62" xfId="0" applyNumberFormat="1" applyFill="1" applyBorder="1" applyAlignment="1" applyProtection="1">
      <alignment horizontal="center" vertical="center"/>
    </xf>
    <xf numFmtId="0" fontId="0" fillId="0" borderId="65" xfId="0" applyNumberFormat="1" applyFill="1" applyBorder="1" applyAlignment="1" applyProtection="1">
      <alignment vertical="center"/>
    </xf>
    <xf numFmtId="184" fontId="0" fillId="0" borderId="65" xfId="0" applyNumberFormat="1" applyFill="1" applyBorder="1" applyAlignment="1" applyProtection="1">
      <alignment horizontal="center" vertical="center"/>
    </xf>
    <xf numFmtId="184" fontId="0" fillId="0" borderId="64" xfId="0" applyNumberFormat="1" applyFill="1" applyBorder="1" applyAlignment="1" applyProtection="1">
      <alignment horizontal="center" vertical="center"/>
    </xf>
    <xf numFmtId="184" fontId="0" fillId="56" borderId="64" xfId="0" applyNumberFormat="1" applyFill="1" applyBorder="1" applyAlignment="1" applyProtection="1">
      <alignment horizontal="center" vertical="center"/>
    </xf>
    <xf numFmtId="184" fontId="0" fillId="57" borderId="64" xfId="0" applyNumberFormat="1" applyFill="1" applyBorder="1" applyAlignment="1" applyProtection="1">
      <alignment horizontal="center" vertical="center"/>
    </xf>
    <xf numFmtId="184" fontId="0" fillId="0" borderId="63" xfId="0" applyNumberFormat="1" applyFill="1" applyBorder="1" applyAlignment="1" applyProtection="1">
      <alignment horizontal="center" vertical="center"/>
    </xf>
    <xf numFmtId="0" fontId="0" fillId="48" borderId="29" xfId="0" applyNumberFormat="1" applyFill="1" applyBorder="1" applyAlignment="1" applyProtection="1">
      <alignment vertical="center"/>
    </xf>
    <xf numFmtId="0" fontId="0" fillId="45" borderId="10" xfId="0" applyNumberFormat="1" applyFill="1" applyBorder="1" applyAlignment="1" applyProtection="1">
      <alignment vertical="center" shrinkToFit="1"/>
    </xf>
    <xf numFmtId="184" fontId="0" fillId="0" borderId="70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left" vertical="center" shrinkToFit="1"/>
    </xf>
    <xf numFmtId="180" fontId="0" fillId="0" borderId="68" xfId="0" applyNumberFormat="1" applyFill="1" applyBorder="1" applyAlignment="1" applyProtection="1">
      <alignment horizontal="center" vertical="center"/>
    </xf>
    <xf numFmtId="182" fontId="0" fillId="0" borderId="68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left" vertical="center"/>
    </xf>
    <xf numFmtId="187" fontId="0" fillId="0" borderId="68" xfId="0" applyNumberFormat="1" applyFill="1" applyBorder="1" applyAlignment="1" applyProtection="1">
      <alignment horizontal="center" vertical="center" wrapText="1"/>
    </xf>
    <xf numFmtId="180" fontId="0" fillId="0" borderId="51" xfId="0" applyNumberFormat="1" applyFill="1" applyBorder="1" applyAlignment="1" applyProtection="1">
      <alignment horizontal="center" vertical="center"/>
    </xf>
    <xf numFmtId="182" fontId="0" fillId="0" borderId="51" xfId="0" applyNumberFormat="1" applyFill="1" applyBorder="1" applyAlignment="1" applyProtection="1">
      <alignment horizontal="center" vertical="center"/>
    </xf>
    <xf numFmtId="187" fontId="0" fillId="0" borderId="51" xfId="0" applyNumberFormat="1" applyFill="1" applyBorder="1" applyAlignment="1" applyProtection="1">
      <alignment horizontal="center" vertical="center" wrapText="1"/>
    </xf>
    <xf numFmtId="184" fontId="0" fillId="0" borderId="71" xfId="0" applyNumberFormat="1" applyFill="1" applyBorder="1" applyAlignment="1" applyProtection="1">
      <alignment horizontal="center" vertical="center"/>
    </xf>
    <xf numFmtId="180" fontId="0" fillId="0" borderId="66" xfId="0" applyNumberFormat="1" applyFill="1" applyBorder="1" applyAlignment="1" applyProtection="1">
      <alignment horizontal="center" vertical="center"/>
    </xf>
    <xf numFmtId="182" fontId="0" fillId="0" borderId="66" xfId="0" applyNumberFormat="1" applyFill="1" applyBorder="1" applyAlignment="1" applyProtection="1">
      <alignment horizontal="center" vertical="center"/>
    </xf>
    <xf numFmtId="187" fontId="0" fillId="0" borderId="66" xfId="0" applyNumberFormat="1" applyFill="1" applyBorder="1" applyAlignment="1" applyProtection="1">
      <alignment horizontal="center" vertical="center" wrapText="1"/>
    </xf>
    <xf numFmtId="184" fontId="0" fillId="0" borderId="72" xfId="0" applyNumberFormat="1" applyFill="1" applyBorder="1" applyAlignment="1" applyProtection="1">
      <alignment horizontal="center" vertical="center"/>
    </xf>
    <xf numFmtId="180" fontId="0" fillId="0" borderId="58" xfId="0" applyNumberFormat="1" applyFill="1" applyBorder="1" applyAlignment="1" applyProtection="1">
      <alignment horizontal="center" vertical="center"/>
    </xf>
    <xf numFmtId="182" fontId="0" fillId="0" borderId="58" xfId="0" applyNumberFormat="1" applyFill="1" applyBorder="1" applyAlignment="1" applyProtection="1">
      <alignment horizontal="center" vertical="center"/>
    </xf>
    <xf numFmtId="187" fontId="0" fillId="0" borderId="58" xfId="0" applyNumberFormat="1" applyFill="1" applyBorder="1" applyAlignment="1" applyProtection="1">
      <alignment horizontal="center" vertical="center" wrapText="1"/>
    </xf>
    <xf numFmtId="184" fontId="0" fillId="0" borderId="73" xfId="0" applyNumberFormat="1" applyFill="1" applyBorder="1" applyAlignment="1" applyProtection="1">
      <alignment horizontal="center" vertical="center"/>
    </xf>
    <xf numFmtId="0" fontId="19" fillId="0" borderId="0" xfId="0" applyFont="1" applyFill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0" fillId="0" borderId="74" xfId="0" applyFill="1" applyBorder="1" applyAlignment="1">
      <alignment vertical="center" wrapText="1"/>
      <protection locked="0"/>
    </xf>
    <xf numFmtId="0" fontId="0" fillId="33" borderId="75" xfId="0" applyFill="1" applyBorder="1">
      <alignment vertical="center"/>
      <protection locked="0"/>
    </xf>
    <xf numFmtId="0" fontId="0" fillId="34" borderId="75" xfId="0" applyFill="1" applyBorder="1">
      <alignment vertical="center"/>
      <protection locked="0"/>
    </xf>
    <xf numFmtId="0" fontId="0" fillId="35" borderId="75" xfId="0" applyFill="1" applyBorder="1">
      <alignment vertical="center"/>
      <protection locked="0"/>
    </xf>
    <xf numFmtId="0" fontId="0" fillId="36" borderId="75" xfId="0" applyFill="1" applyBorder="1">
      <alignment vertical="center"/>
      <protection locked="0"/>
    </xf>
    <xf numFmtId="0" fontId="0" fillId="49" borderId="75" xfId="0" applyFill="1" applyBorder="1">
      <alignment vertical="center"/>
      <protection locked="0"/>
    </xf>
    <xf numFmtId="0" fontId="0" fillId="50" borderId="75" xfId="0" applyFill="1" applyBorder="1">
      <alignment vertical="center"/>
      <protection locked="0"/>
    </xf>
    <xf numFmtId="0" fontId="0" fillId="51" borderId="75" xfId="0" applyFill="1" applyBorder="1">
      <alignment vertical="center"/>
      <protection locked="0"/>
    </xf>
    <xf numFmtId="0" fontId="0" fillId="52" borderId="75" xfId="0" applyFill="1" applyBorder="1">
      <alignment vertical="center"/>
      <protection locked="0"/>
    </xf>
    <xf numFmtId="0" fontId="0" fillId="37" borderId="75" xfId="0" applyFill="1" applyBorder="1">
      <alignment vertical="center"/>
      <protection locked="0"/>
    </xf>
    <xf numFmtId="0" fontId="0" fillId="38" borderId="75" xfId="0" applyFill="1" applyBorder="1">
      <alignment vertical="center"/>
      <protection locked="0"/>
    </xf>
    <xf numFmtId="0" fontId="0" fillId="41" borderId="75" xfId="0" applyFill="1" applyBorder="1">
      <alignment vertical="center"/>
      <protection locked="0"/>
    </xf>
    <xf numFmtId="0" fontId="0" fillId="47" borderId="75" xfId="0" applyFill="1" applyBorder="1">
      <alignment vertical="center"/>
      <protection locked="0"/>
    </xf>
    <xf numFmtId="0" fontId="0" fillId="39" borderId="75" xfId="0" applyFill="1" applyBorder="1">
      <alignment vertical="center"/>
      <protection locked="0"/>
    </xf>
    <xf numFmtId="0" fontId="0" fillId="40" borderId="75" xfId="0" applyFill="1" applyBorder="1">
      <alignment vertical="center"/>
      <protection locked="0"/>
    </xf>
    <xf numFmtId="0" fontId="0" fillId="40" borderId="76" xfId="0" applyFill="1" applyBorder="1">
      <alignment vertical="center"/>
      <protection locked="0"/>
    </xf>
    <xf numFmtId="186" fontId="0" fillId="45" borderId="40" xfId="0" applyNumberFormat="1" applyFill="1" applyBorder="1" applyAlignment="1" applyProtection="1">
      <alignment horizontal="center" vertical="center"/>
    </xf>
    <xf numFmtId="0" fontId="0" fillId="0" borderId="0" xfId="0" applyNumberFormat="1" applyBorder="1" applyAlignment="1">
      <alignment horizontal="center" vertical="center"/>
      <protection locked="0"/>
    </xf>
    <xf numFmtId="184" fontId="0" fillId="57" borderId="26" xfId="0" applyNumberFormat="1" applyFill="1" applyBorder="1" applyAlignment="1">
      <alignment horizontal="center" vertical="center"/>
      <protection locked="0"/>
    </xf>
    <xf numFmtId="184" fontId="0" fillId="0" borderId="23" xfId="0" applyNumberFormat="1" applyBorder="1" applyAlignment="1">
      <alignment horizontal="center" vertical="center"/>
      <protection locked="0"/>
    </xf>
    <xf numFmtId="184" fontId="0" fillId="56" borderId="23" xfId="0" applyNumberFormat="1" applyFill="1" applyBorder="1" applyAlignment="1">
      <alignment horizontal="center" vertical="center"/>
      <protection locked="0"/>
    </xf>
    <xf numFmtId="184" fontId="0" fillId="57" borderId="23" xfId="0" applyNumberFormat="1" applyFill="1" applyBorder="1" applyAlignment="1">
      <alignment horizontal="center" vertical="center"/>
      <protection locked="0"/>
    </xf>
    <xf numFmtId="184" fontId="0" fillId="0" borderId="10" xfId="0" applyNumberFormat="1" applyBorder="1" applyAlignment="1">
      <alignment horizontal="center" vertical="center"/>
      <protection locked="0"/>
    </xf>
    <xf numFmtId="184" fontId="0" fillId="56" borderId="78" xfId="0" applyNumberFormat="1" applyFill="1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horizontal="left" vertical="center" indent="1" shrinkToFit="1"/>
    </xf>
    <xf numFmtId="0" fontId="0" fillId="0" borderId="22" xfId="0" applyNumberFormat="1" applyFill="1" applyBorder="1" applyAlignment="1" applyProtection="1">
      <alignment horizontal="left" vertical="center" indent="2" shrinkToFit="1"/>
    </xf>
    <xf numFmtId="0" fontId="0" fillId="0" borderId="22" xfId="0" applyNumberFormat="1" applyFill="1" applyBorder="1" applyAlignment="1" applyProtection="1">
      <alignment horizontal="left" vertical="center" indent="3" shrinkToFit="1"/>
    </xf>
    <xf numFmtId="0" fontId="0" fillId="0" borderId="22" xfId="0" applyNumberFormat="1" applyFill="1" applyBorder="1" applyAlignment="1" applyProtection="1">
      <alignment horizontal="left" vertical="center" indent="4" shrinkToFit="1"/>
    </xf>
    <xf numFmtId="0" fontId="0" fillId="58" borderId="12" xfId="0" applyNumberFormat="1" applyFill="1" applyBorder="1" applyAlignment="1" applyProtection="1">
      <alignment horizontal="center" vertical="center"/>
    </xf>
    <xf numFmtId="0" fontId="0" fillId="58" borderId="11" xfId="0" applyNumberFormat="1" applyFill="1" applyBorder="1" applyAlignment="1" applyProtection="1">
      <alignment horizontal="center" vertical="center"/>
    </xf>
    <xf numFmtId="0" fontId="0" fillId="58" borderId="22" xfId="0" applyNumberFormat="1" applyFill="1" applyBorder="1" applyAlignment="1" applyProtection="1">
      <alignment vertical="center" shrinkToFit="1"/>
    </xf>
    <xf numFmtId="180" fontId="0" fillId="58" borderId="13" xfId="0" applyNumberFormat="1" applyFill="1" applyBorder="1" applyAlignment="1" applyProtection="1">
      <alignment horizontal="center" vertical="center"/>
    </xf>
    <xf numFmtId="180" fontId="0" fillId="58" borderId="25" xfId="0" applyNumberFormat="1" applyFill="1" applyBorder="1" applyAlignment="1" applyProtection="1">
      <alignment horizontal="center" vertical="center"/>
    </xf>
    <xf numFmtId="0" fontId="0" fillId="58" borderId="22" xfId="0" applyNumberFormat="1" applyFill="1" applyBorder="1" applyAlignment="1" applyProtection="1">
      <alignment horizontal="center" vertical="center" shrinkToFit="1"/>
    </xf>
    <xf numFmtId="182" fontId="0" fillId="58" borderId="13" xfId="0" applyNumberFormat="1" applyFill="1" applyBorder="1" applyAlignment="1" applyProtection="1">
      <alignment horizontal="center" vertical="center"/>
    </xf>
    <xf numFmtId="182" fontId="0" fillId="58" borderId="25" xfId="0" applyNumberFormat="1" applyFill="1" applyBorder="1" applyAlignment="1" applyProtection="1">
      <alignment horizontal="center" vertical="center"/>
    </xf>
    <xf numFmtId="0" fontId="0" fillId="58" borderId="22" xfId="0" applyNumberFormat="1" applyFill="1" applyBorder="1" applyAlignment="1" applyProtection="1">
      <alignment horizontal="left" vertical="center" shrinkToFit="1"/>
    </xf>
    <xf numFmtId="0" fontId="0" fillId="58" borderId="22" xfId="0" applyNumberFormat="1" applyFill="1" applyBorder="1" applyAlignment="1" applyProtection="1">
      <alignment horizontal="left" vertical="center"/>
    </xf>
    <xf numFmtId="0" fontId="0" fillId="58" borderId="13" xfId="0" applyNumberFormat="1" applyFill="1" applyBorder="1" applyAlignment="1" applyProtection="1">
      <alignment horizontal="center" vertical="center" wrapText="1"/>
    </xf>
    <xf numFmtId="49" fontId="0" fillId="58" borderId="25" xfId="0" applyNumberFormat="1" applyFill="1" applyBorder="1" applyAlignment="1" applyProtection="1">
      <alignment horizontal="center" vertical="center" wrapText="1"/>
    </xf>
    <xf numFmtId="187" fontId="0" fillId="58" borderId="13" xfId="0" applyNumberFormat="1" applyFill="1" applyBorder="1" applyAlignment="1" applyProtection="1">
      <alignment horizontal="center" vertical="center" wrapText="1"/>
    </xf>
    <xf numFmtId="187" fontId="0" fillId="58" borderId="25" xfId="0" applyNumberFormat="1" applyFill="1" applyBorder="1" applyAlignment="1" applyProtection="1">
      <alignment horizontal="center" vertical="center" wrapText="1"/>
    </xf>
    <xf numFmtId="186" fontId="0" fillId="58" borderId="10" xfId="0" applyNumberFormat="1" applyFill="1" applyBorder="1" applyAlignment="1" applyProtection="1">
      <alignment horizontal="center" vertical="center"/>
    </xf>
    <xf numFmtId="0" fontId="0" fillId="58" borderId="10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6" applyFont="1" applyAlignment="1">
      <alignment horizontal="left" vertical="center" shrinkToFit="1"/>
      <protection locked="0"/>
    </xf>
    <xf numFmtId="0" fontId="29" fillId="0" borderId="0" xfId="56" applyFont="1" applyFill="1" applyAlignment="1">
      <alignment horizontal="left" vertical="center" indent="2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43" xfId="0" applyNumberFormat="1" applyFont="1" applyFill="1" applyBorder="1" applyAlignment="1">
      <alignment horizontal="center" vertical="center"/>
      <protection locked="0"/>
    </xf>
    <xf numFmtId="183" fontId="0" fillId="0" borderId="26" xfId="0" applyNumberFormat="1" applyBorder="1" applyAlignment="1">
      <alignment horizontal="center" vertical="center"/>
      <protection locked="0"/>
    </xf>
    <xf numFmtId="183" fontId="0" fillId="0" borderId="40" xfId="0" applyNumberFormat="1" applyBorder="1" applyAlignment="1">
      <alignment horizontal="center" vertical="center"/>
      <protection locked="0"/>
    </xf>
    <xf numFmtId="183" fontId="0" fillId="0" borderId="10" xfId="0" applyNumberFormat="1" applyBorder="1" applyAlignment="1">
      <alignment horizontal="center" vertical="center"/>
      <protection locked="0"/>
    </xf>
    <xf numFmtId="183" fontId="0" fillId="0" borderId="77" xfId="0" applyNumberFormat="1" applyBorder="1" applyAlignment="1">
      <alignment horizontal="center" vertical="center"/>
      <protection locked="0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6" fontId="0" fillId="43" borderId="38" xfId="0" applyNumberFormat="1" applyFont="1" applyFill="1" applyBorder="1" applyAlignment="1" applyProtection="1">
      <alignment horizontal="center" vertical="center" shrinkToFit="1"/>
    </xf>
    <xf numFmtId="186" fontId="0" fillId="43" borderId="14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0" fillId="0" borderId="59" xfId="0" applyNumberFormat="1" applyFill="1" applyBorder="1" applyAlignment="1" applyProtection="1">
      <alignment horizontal="center" vertical="center"/>
    </xf>
    <xf numFmtId="0" fontId="0" fillId="0" borderId="39" xfId="0" applyNumberFormat="1" applyFill="1" applyBorder="1" applyAlignment="1" applyProtection="1">
      <alignment horizontal="center" vertical="center"/>
    </xf>
    <xf numFmtId="0" fontId="0" fillId="0" borderId="45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183" fontId="0" fillId="0" borderId="40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69" xfId="0" applyNumberForma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186" fontId="0" fillId="43" borderId="29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42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</cellXfs>
  <cellStyles count="57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 hidden="1"/>
    <cellStyle name="ハイパーリンク" xfId="56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表示済みのハイパーリンク" xfId="55" builtinId="9" hidden="1"/>
    <cellStyle name="良い" xfId="11" builtinId="26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6FF33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00"/>
      <color rgb="FFFFFFFF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0</xdr:colOff>
      <xdr:row>39</xdr:row>
      <xdr:rowOff>0</xdr:rowOff>
    </xdr:from>
    <xdr:to>
      <xdr:col>43</xdr:col>
      <xdr:colOff>9525</xdr:colOff>
      <xdr:row>43</xdr:row>
      <xdr:rowOff>78441</xdr:rowOff>
    </xdr:to>
    <xdr:pic>
      <xdr:nvPicPr>
        <xdr:cNvPr id="4" name="図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181"/>
        <a:stretch/>
      </xdr:blipFill>
      <xdr:spPr>
        <a:xfrm>
          <a:off x="276225" y="9658350"/>
          <a:ext cx="11610975" cy="1069041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77</xdr:row>
      <xdr:rowOff>0</xdr:rowOff>
    </xdr:from>
    <xdr:to>
      <xdr:col>3</xdr:col>
      <xdr:colOff>257120</xdr:colOff>
      <xdr:row>79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81</xdr:row>
      <xdr:rowOff>0</xdr:rowOff>
    </xdr:from>
    <xdr:to>
      <xdr:col>3</xdr:col>
      <xdr:colOff>186520</xdr:colOff>
      <xdr:row>83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11</xdr:col>
      <xdr:colOff>153256</xdr:colOff>
      <xdr:row>91</xdr:row>
      <xdr:rowOff>93343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0</xdr:colOff>
      <xdr:row>5</xdr:row>
      <xdr:rowOff>0</xdr:rowOff>
    </xdr:from>
    <xdr:to>
      <xdr:col>53</xdr:col>
      <xdr:colOff>0</xdr:colOff>
      <xdr:row>6</xdr:row>
      <xdr:rowOff>0</xdr:rowOff>
    </xdr:to>
    <xdr:sp macro="" textlink="E6">
      <xdr:nvSpPr>
        <xdr:cNvPr id="6" name="タスク_6"/>
        <xdr:cNvSpPr/>
      </xdr:nvSpPr>
      <xdr:spPr>
        <a:xfrm>
          <a:off x="11296650" y="1428750"/>
          <a:ext cx="5476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49359845-19E4-4BB5-A509-CAE5DD9038F1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インポートテスト用WBS.xlsm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6</xdr:row>
      <xdr:rowOff>0</xdr:rowOff>
    </xdr:from>
    <xdr:to>
      <xdr:col>53</xdr:col>
      <xdr:colOff>0</xdr:colOff>
      <xdr:row>7</xdr:row>
      <xdr:rowOff>0</xdr:rowOff>
    </xdr:to>
    <xdr:sp macro="" textlink="E7">
      <xdr:nvSpPr>
        <xdr:cNvPr id="22" name="タスク_7"/>
        <xdr:cNvSpPr/>
      </xdr:nvSpPr>
      <xdr:spPr>
        <a:xfrm>
          <a:off x="11296650" y="1676400"/>
          <a:ext cx="5476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48F56EFF-A665-4B89-AC58-20C12F32B9D9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制作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7</xdr:row>
      <xdr:rowOff>0</xdr:rowOff>
    </xdr:from>
    <xdr:to>
      <xdr:col>39</xdr:col>
      <xdr:colOff>0</xdr:colOff>
      <xdr:row>8</xdr:row>
      <xdr:rowOff>0</xdr:rowOff>
    </xdr:to>
    <xdr:sp macro="" textlink="E8">
      <xdr:nvSpPr>
        <xdr:cNvPr id="24" name="タスク_8"/>
        <xdr:cNvSpPr/>
      </xdr:nvSpPr>
      <xdr:spPr>
        <a:xfrm>
          <a:off x="11296650" y="1924050"/>
          <a:ext cx="2143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837F1075-82AC-46AE-83DF-02E37186EA3F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素材提供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8</xdr:row>
      <xdr:rowOff>0</xdr:rowOff>
    </xdr:from>
    <xdr:to>
      <xdr:col>32</xdr:col>
      <xdr:colOff>0</xdr:colOff>
      <xdr:row>9</xdr:row>
      <xdr:rowOff>0</xdr:rowOff>
    </xdr:to>
    <xdr:sp macro="beforeChangeShapes" textlink="">
      <xdr:nvSpPr>
        <xdr:cNvPr id="25" name="タスク_9"/>
        <xdr:cNvSpPr/>
      </xdr:nvSpPr>
      <xdr:spPr>
        <a:xfrm>
          <a:off x="11296650" y="2171700"/>
          <a:ext cx="476250" cy="24765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32</xdr:col>
      <xdr:colOff>0</xdr:colOff>
      <xdr:row>9</xdr:row>
      <xdr:rowOff>0</xdr:rowOff>
    </xdr:from>
    <xdr:to>
      <xdr:col>39</xdr:col>
      <xdr:colOff>0</xdr:colOff>
      <xdr:row>10</xdr:row>
      <xdr:rowOff>0</xdr:rowOff>
    </xdr:to>
    <xdr:sp macro="beforeChangeShapes" textlink="">
      <xdr:nvSpPr>
        <xdr:cNvPr id="26" name="タスク_10"/>
        <xdr:cNvSpPr/>
      </xdr:nvSpPr>
      <xdr:spPr>
        <a:xfrm>
          <a:off x="11772900" y="2419350"/>
          <a:ext cx="1666875" cy="24765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35</xdr:col>
      <xdr:colOff>0</xdr:colOff>
      <xdr:row>10</xdr:row>
      <xdr:rowOff>0</xdr:rowOff>
    </xdr:from>
    <xdr:to>
      <xdr:col>38</xdr:col>
      <xdr:colOff>0</xdr:colOff>
      <xdr:row>11</xdr:row>
      <xdr:rowOff>0</xdr:rowOff>
    </xdr:to>
    <xdr:sp macro="beforeChangeShapes" textlink="">
      <xdr:nvSpPr>
        <xdr:cNvPr id="27" name="タスク_11"/>
        <xdr:cNvSpPr/>
      </xdr:nvSpPr>
      <xdr:spPr>
        <a:xfrm>
          <a:off x="12487275" y="2667000"/>
          <a:ext cx="714375" cy="24765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38</xdr:col>
      <xdr:colOff>0</xdr:colOff>
      <xdr:row>11</xdr:row>
      <xdr:rowOff>0</xdr:rowOff>
    </xdr:from>
    <xdr:to>
      <xdr:col>53</xdr:col>
      <xdr:colOff>0</xdr:colOff>
      <xdr:row>12</xdr:row>
      <xdr:rowOff>0</xdr:rowOff>
    </xdr:to>
    <xdr:sp macro="" textlink="E12">
      <xdr:nvSpPr>
        <xdr:cNvPr id="28" name="タスク_12"/>
        <xdr:cNvSpPr/>
      </xdr:nvSpPr>
      <xdr:spPr>
        <a:xfrm>
          <a:off x="13201650" y="2914650"/>
          <a:ext cx="3571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B2642495-F211-40A4-B4F2-1BDDBB7E962D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ランディングページ制作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38</xdr:col>
      <xdr:colOff>0</xdr:colOff>
      <xdr:row>12</xdr:row>
      <xdr:rowOff>0</xdr:rowOff>
    </xdr:from>
    <xdr:to>
      <xdr:col>47</xdr:col>
      <xdr:colOff>0</xdr:colOff>
      <xdr:row>13</xdr:row>
      <xdr:rowOff>0</xdr:rowOff>
    </xdr:to>
    <xdr:sp macro="" textlink="E13">
      <xdr:nvSpPr>
        <xdr:cNvPr id="29" name="タスク_13"/>
        <xdr:cNvSpPr/>
      </xdr:nvSpPr>
      <xdr:spPr>
        <a:xfrm>
          <a:off x="13201650" y="3162300"/>
          <a:ext cx="2143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D8E101E1-148E-41DF-8100-F9CE2EFA9852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作成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38</xdr:col>
      <xdr:colOff>0</xdr:colOff>
      <xdr:row>13</xdr:row>
      <xdr:rowOff>0</xdr:rowOff>
    </xdr:from>
    <xdr:to>
      <xdr:col>43</xdr:col>
      <xdr:colOff>0</xdr:colOff>
      <xdr:row>14</xdr:row>
      <xdr:rowOff>0</xdr:rowOff>
    </xdr:to>
    <xdr:sp macro="beforeChangeShapes" textlink="">
      <xdr:nvSpPr>
        <xdr:cNvPr id="30" name="タスク_14"/>
        <xdr:cNvSpPr/>
      </xdr:nvSpPr>
      <xdr:spPr>
        <a:xfrm>
          <a:off x="13201650" y="34099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38</xdr:col>
      <xdr:colOff>0</xdr:colOff>
      <xdr:row>14</xdr:row>
      <xdr:rowOff>0</xdr:rowOff>
    </xdr:from>
    <xdr:to>
      <xdr:col>43</xdr:col>
      <xdr:colOff>0</xdr:colOff>
      <xdr:row>15</xdr:row>
      <xdr:rowOff>0</xdr:rowOff>
    </xdr:to>
    <xdr:sp macro="beforeChangeShapes" textlink="">
      <xdr:nvSpPr>
        <xdr:cNvPr id="31" name="タスク_15"/>
        <xdr:cNvSpPr/>
      </xdr:nvSpPr>
      <xdr:spPr>
        <a:xfrm>
          <a:off x="13201650" y="3657600"/>
          <a:ext cx="1190625" cy="24765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38</xdr:col>
      <xdr:colOff>0</xdr:colOff>
      <xdr:row>15</xdr:row>
      <xdr:rowOff>0</xdr:rowOff>
    </xdr:from>
    <xdr:to>
      <xdr:col>43</xdr:col>
      <xdr:colOff>0</xdr:colOff>
      <xdr:row>16</xdr:row>
      <xdr:rowOff>0</xdr:rowOff>
    </xdr:to>
    <xdr:sp macro="beforeChangeShapes" textlink="">
      <xdr:nvSpPr>
        <xdr:cNvPr id="32" name="タスク_16"/>
        <xdr:cNvSpPr/>
      </xdr:nvSpPr>
      <xdr:spPr>
        <a:xfrm>
          <a:off x="13201650" y="3905250"/>
          <a:ext cx="1190625" cy="24765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38</xdr:col>
      <xdr:colOff>0</xdr:colOff>
      <xdr:row>16</xdr:row>
      <xdr:rowOff>0</xdr:rowOff>
    </xdr:from>
    <xdr:to>
      <xdr:col>43</xdr:col>
      <xdr:colOff>0</xdr:colOff>
      <xdr:row>17</xdr:row>
      <xdr:rowOff>0</xdr:rowOff>
    </xdr:to>
    <xdr:sp macro="beforeChangeShapes" textlink="">
      <xdr:nvSpPr>
        <xdr:cNvPr id="33" name="タスク_17"/>
        <xdr:cNvSpPr/>
      </xdr:nvSpPr>
      <xdr:spPr>
        <a:xfrm>
          <a:off x="13201650" y="4152900"/>
          <a:ext cx="1190625" cy="247650"/>
        </a:xfrm>
        <a:prstGeom prst="rect">
          <a:avLst/>
        </a:prstGeom>
        <a:solidFill>
          <a:srgbClr val="44546A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42</xdr:col>
      <xdr:colOff>0</xdr:colOff>
      <xdr:row>17</xdr:row>
      <xdr:rowOff>0</xdr:rowOff>
    </xdr:from>
    <xdr:to>
      <xdr:col>45</xdr:col>
      <xdr:colOff>0</xdr:colOff>
      <xdr:row>18</xdr:row>
      <xdr:rowOff>0</xdr:rowOff>
    </xdr:to>
    <xdr:sp macro="beforeChangeShapes" textlink="">
      <xdr:nvSpPr>
        <xdr:cNvPr id="34" name="タスク_18"/>
        <xdr:cNvSpPr/>
      </xdr:nvSpPr>
      <xdr:spPr>
        <a:xfrm>
          <a:off x="14154150" y="4400550"/>
          <a:ext cx="714375" cy="24765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45</xdr:col>
      <xdr:colOff>0</xdr:colOff>
      <xdr:row>18</xdr:row>
      <xdr:rowOff>0</xdr:rowOff>
    </xdr:from>
    <xdr:to>
      <xdr:col>47</xdr:col>
      <xdr:colOff>0</xdr:colOff>
      <xdr:row>19</xdr:row>
      <xdr:rowOff>0</xdr:rowOff>
    </xdr:to>
    <xdr:sp macro="beforeChangeShapes" textlink="">
      <xdr:nvSpPr>
        <xdr:cNvPr id="35" name="タスク_19"/>
        <xdr:cNvSpPr/>
      </xdr:nvSpPr>
      <xdr:spPr>
        <a:xfrm>
          <a:off x="14868525" y="4648200"/>
          <a:ext cx="476250" cy="24765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43</xdr:col>
      <xdr:colOff>0</xdr:colOff>
      <xdr:row>19</xdr:row>
      <xdr:rowOff>0</xdr:rowOff>
    </xdr:from>
    <xdr:to>
      <xdr:col>53</xdr:col>
      <xdr:colOff>0</xdr:colOff>
      <xdr:row>20</xdr:row>
      <xdr:rowOff>0</xdr:rowOff>
    </xdr:to>
    <xdr:sp macro="" textlink="E20">
      <xdr:nvSpPr>
        <xdr:cNvPr id="36" name="タスク_20"/>
        <xdr:cNvSpPr/>
      </xdr:nvSpPr>
      <xdr:spPr>
        <a:xfrm>
          <a:off x="14392275" y="4895850"/>
          <a:ext cx="238125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B586C8A0-5BC5-4F92-98DE-6FAD6992CBFD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修正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43</xdr:col>
      <xdr:colOff>0</xdr:colOff>
      <xdr:row>20</xdr:row>
      <xdr:rowOff>0</xdr:rowOff>
    </xdr:from>
    <xdr:to>
      <xdr:col>47</xdr:col>
      <xdr:colOff>0</xdr:colOff>
      <xdr:row>21</xdr:row>
      <xdr:rowOff>0</xdr:rowOff>
    </xdr:to>
    <xdr:sp macro="beforeChangeShapes" textlink="">
      <xdr:nvSpPr>
        <xdr:cNvPr id="37" name="タスク_21"/>
        <xdr:cNvSpPr/>
      </xdr:nvSpPr>
      <xdr:spPr>
        <a:xfrm>
          <a:off x="14392275" y="51435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43</xdr:col>
      <xdr:colOff>0</xdr:colOff>
      <xdr:row>21</xdr:row>
      <xdr:rowOff>0</xdr:rowOff>
    </xdr:from>
    <xdr:to>
      <xdr:col>47</xdr:col>
      <xdr:colOff>0</xdr:colOff>
      <xdr:row>22</xdr:row>
      <xdr:rowOff>0</xdr:rowOff>
    </xdr:to>
    <xdr:sp macro="beforeChangeShapes" textlink="">
      <xdr:nvSpPr>
        <xdr:cNvPr id="38" name="タスク_22"/>
        <xdr:cNvSpPr/>
      </xdr:nvSpPr>
      <xdr:spPr>
        <a:xfrm>
          <a:off x="14392275" y="5391150"/>
          <a:ext cx="952500" cy="24765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43</xdr:col>
      <xdr:colOff>0</xdr:colOff>
      <xdr:row>22</xdr:row>
      <xdr:rowOff>0</xdr:rowOff>
    </xdr:from>
    <xdr:to>
      <xdr:col>47</xdr:col>
      <xdr:colOff>0</xdr:colOff>
      <xdr:row>23</xdr:row>
      <xdr:rowOff>0</xdr:rowOff>
    </xdr:to>
    <xdr:sp macro="beforeChangeShapes" textlink="">
      <xdr:nvSpPr>
        <xdr:cNvPr id="39" name="タスク_23"/>
        <xdr:cNvSpPr/>
      </xdr:nvSpPr>
      <xdr:spPr>
        <a:xfrm>
          <a:off x="14392275" y="5638800"/>
          <a:ext cx="952500" cy="24765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45</xdr:col>
      <xdr:colOff>0</xdr:colOff>
      <xdr:row>23</xdr:row>
      <xdr:rowOff>0</xdr:rowOff>
    </xdr:from>
    <xdr:to>
      <xdr:col>52</xdr:col>
      <xdr:colOff>0</xdr:colOff>
      <xdr:row>24</xdr:row>
      <xdr:rowOff>0</xdr:rowOff>
    </xdr:to>
    <xdr:sp macro="beforeChangeShapes" textlink="">
      <xdr:nvSpPr>
        <xdr:cNvPr id="40" name="タスク_24"/>
        <xdr:cNvSpPr/>
      </xdr:nvSpPr>
      <xdr:spPr>
        <a:xfrm>
          <a:off x="14868525" y="5886450"/>
          <a:ext cx="1666875" cy="24765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51</xdr:col>
      <xdr:colOff>0</xdr:colOff>
      <xdr:row>24</xdr:row>
      <xdr:rowOff>0</xdr:rowOff>
    </xdr:from>
    <xdr:to>
      <xdr:col>53</xdr:col>
      <xdr:colOff>0</xdr:colOff>
      <xdr:row>25</xdr:row>
      <xdr:rowOff>0</xdr:rowOff>
    </xdr:to>
    <xdr:sp macro="beforeChangeShapes" textlink="">
      <xdr:nvSpPr>
        <xdr:cNvPr id="41" name="タスク_25"/>
        <xdr:cNvSpPr/>
      </xdr:nvSpPr>
      <xdr:spPr>
        <a:xfrm>
          <a:off x="16297275" y="6134100"/>
          <a:ext cx="476250" cy="247650"/>
        </a:xfrm>
        <a:prstGeom prst="rect">
          <a:avLst/>
        </a:prstGeom>
        <a:solidFill>
          <a:srgbClr val="CCFF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23</xdr:col>
      <xdr:colOff>0</xdr:colOff>
      <xdr:row>6</xdr:row>
      <xdr:rowOff>0</xdr:rowOff>
    </xdr:to>
    <xdr:sp macro="beforeChangeShapes" textlink="">
      <xdr:nvSpPr>
        <xdr:cNvPr id="43" name="タスク_6"/>
        <xdr:cNvSpPr/>
      </xdr:nvSpPr>
      <xdr:spPr>
        <a:xfrm>
          <a:off x="16659225" y="14287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6</xdr:row>
      <xdr:rowOff>0</xdr:rowOff>
    </xdr:from>
    <xdr:to>
      <xdr:col>34</xdr:col>
      <xdr:colOff>0</xdr:colOff>
      <xdr:row>7</xdr:row>
      <xdr:rowOff>0</xdr:rowOff>
    </xdr:to>
    <xdr:sp macro="beforeChangeShapes" textlink="">
      <xdr:nvSpPr>
        <xdr:cNvPr id="44" name="タスク_7"/>
        <xdr:cNvSpPr/>
      </xdr:nvSpPr>
      <xdr:spPr>
        <a:xfrm>
          <a:off x="18564225" y="16764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38</xdr:col>
      <xdr:colOff>0</xdr:colOff>
      <xdr:row>8</xdr:row>
      <xdr:rowOff>0</xdr:rowOff>
    </xdr:to>
    <xdr:sp macro="beforeChangeShapes" textlink="">
      <xdr:nvSpPr>
        <xdr:cNvPr id="45" name="タスク_8"/>
        <xdr:cNvSpPr/>
      </xdr:nvSpPr>
      <xdr:spPr>
        <a:xfrm>
          <a:off x="19754850" y="192405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23</xdr:col>
      <xdr:colOff>0</xdr:colOff>
      <xdr:row>8</xdr:row>
      <xdr:rowOff>0</xdr:rowOff>
    </xdr:from>
    <xdr:to>
      <xdr:col>27</xdr:col>
      <xdr:colOff>0</xdr:colOff>
      <xdr:row>9</xdr:row>
      <xdr:rowOff>0</xdr:rowOff>
    </xdr:to>
    <xdr:sp macro="beforeChangeShapes" textlink="">
      <xdr:nvSpPr>
        <xdr:cNvPr id="46" name="タスク_9"/>
        <xdr:cNvSpPr/>
      </xdr:nvSpPr>
      <xdr:spPr>
        <a:xfrm>
          <a:off x="17135475" y="21717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33</xdr:col>
      <xdr:colOff>0</xdr:colOff>
      <xdr:row>9</xdr:row>
      <xdr:rowOff>0</xdr:rowOff>
    </xdr:from>
    <xdr:to>
      <xdr:col>36</xdr:col>
      <xdr:colOff>0</xdr:colOff>
      <xdr:row>10</xdr:row>
      <xdr:rowOff>0</xdr:rowOff>
    </xdr:to>
    <xdr:sp macro="beforeChangeShapes" textlink="">
      <xdr:nvSpPr>
        <xdr:cNvPr id="47" name="タスク_10"/>
        <xdr:cNvSpPr/>
      </xdr:nvSpPr>
      <xdr:spPr>
        <a:xfrm>
          <a:off x="19516725" y="241935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0</xdr:colOff>
      <xdr:row>10</xdr:row>
      <xdr:rowOff>0</xdr:rowOff>
    </xdr:from>
    <xdr:to>
      <xdr:col>43</xdr:col>
      <xdr:colOff>0</xdr:colOff>
      <xdr:row>11</xdr:row>
      <xdr:rowOff>0</xdr:rowOff>
    </xdr:to>
    <xdr:sp macro="beforeChangeShapes" textlink="">
      <xdr:nvSpPr>
        <xdr:cNvPr id="48" name="タスク_11"/>
        <xdr:cNvSpPr/>
      </xdr:nvSpPr>
      <xdr:spPr>
        <a:xfrm>
          <a:off x="20231100" y="2667000"/>
          <a:ext cx="16668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26</xdr:col>
      <xdr:colOff>0</xdr:colOff>
      <xdr:row>11</xdr:row>
      <xdr:rowOff>0</xdr:rowOff>
    </xdr:from>
    <xdr:to>
      <xdr:col>45</xdr:col>
      <xdr:colOff>0</xdr:colOff>
      <xdr:row>12</xdr:row>
      <xdr:rowOff>0</xdr:rowOff>
    </xdr:to>
    <xdr:sp macro="beforeChangeShapes" textlink="">
      <xdr:nvSpPr>
        <xdr:cNvPr id="49" name="タスク_12"/>
        <xdr:cNvSpPr/>
      </xdr:nvSpPr>
      <xdr:spPr>
        <a:xfrm>
          <a:off x="17849850" y="2914650"/>
          <a:ext cx="452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0</xdr:colOff>
      <xdr:row>12</xdr:row>
      <xdr:rowOff>0</xdr:rowOff>
    </xdr:from>
    <xdr:to>
      <xdr:col>38</xdr:col>
      <xdr:colOff>0</xdr:colOff>
      <xdr:row>13</xdr:row>
      <xdr:rowOff>0</xdr:rowOff>
    </xdr:to>
    <xdr:sp macro="beforeChangeShapes" textlink="">
      <xdr:nvSpPr>
        <xdr:cNvPr id="50" name="タスク_13"/>
        <xdr:cNvSpPr/>
      </xdr:nvSpPr>
      <xdr:spPr>
        <a:xfrm>
          <a:off x="20231100" y="31623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13</xdr:row>
      <xdr:rowOff>0</xdr:rowOff>
    </xdr:from>
    <xdr:to>
      <xdr:col>34</xdr:col>
      <xdr:colOff>0</xdr:colOff>
      <xdr:row>14</xdr:row>
      <xdr:rowOff>0</xdr:rowOff>
    </xdr:to>
    <xdr:sp macro="beforeChangeShapes" textlink="">
      <xdr:nvSpPr>
        <xdr:cNvPr id="51" name="タスク_14"/>
        <xdr:cNvSpPr/>
      </xdr:nvSpPr>
      <xdr:spPr>
        <a:xfrm>
          <a:off x="18564225" y="34099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34</xdr:col>
      <xdr:colOff>0</xdr:colOff>
      <xdr:row>14</xdr:row>
      <xdr:rowOff>0</xdr:rowOff>
    </xdr:from>
    <xdr:to>
      <xdr:col>38</xdr:col>
      <xdr:colOff>0</xdr:colOff>
      <xdr:row>15</xdr:row>
      <xdr:rowOff>0</xdr:rowOff>
    </xdr:to>
    <xdr:sp macro="beforeChangeShapes" textlink="">
      <xdr:nvSpPr>
        <xdr:cNvPr id="52" name="タスク_15"/>
        <xdr:cNvSpPr/>
      </xdr:nvSpPr>
      <xdr:spPr>
        <a:xfrm>
          <a:off x="19754850" y="36576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15</xdr:row>
      <xdr:rowOff>0</xdr:rowOff>
    </xdr:from>
    <xdr:to>
      <xdr:col>34</xdr:col>
      <xdr:colOff>0</xdr:colOff>
      <xdr:row>16</xdr:row>
      <xdr:rowOff>0</xdr:rowOff>
    </xdr:to>
    <xdr:sp macro="beforeChangeShapes" textlink="">
      <xdr:nvSpPr>
        <xdr:cNvPr id="53" name="タスク_16"/>
        <xdr:cNvSpPr/>
      </xdr:nvSpPr>
      <xdr:spPr>
        <a:xfrm>
          <a:off x="18564225" y="39052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42</xdr:col>
      <xdr:colOff>0</xdr:colOff>
      <xdr:row>16</xdr:row>
      <xdr:rowOff>0</xdr:rowOff>
    </xdr:from>
    <xdr:to>
      <xdr:col>44</xdr:col>
      <xdr:colOff>0</xdr:colOff>
      <xdr:row>17</xdr:row>
      <xdr:rowOff>0</xdr:rowOff>
    </xdr:to>
    <xdr:sp macro="beforeChangeShapes" textlink="">
      <xdr:nvSpPr>
        <xdr:cNvPr id="54" name="タスク_17"/>
        <xdr:cNvSpPr/>
      </xdr:nvSpPr>
      <xdr:spPr>
        <a:xfrm>
          <a:off x="21659850" y="41529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VBA/BK_Library/BK_Library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Ribbon"/>
      <sheetName val="Notice"/>
      <sheetName val="Style"/>
      <sheetName val="testData"/>
    </sheetNames>
    <definedNames>
      <definedName name="getIndentLevel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S106"/>
  <sheetViews>
    <sheetView showGridLines="0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320" t="s">
        <v>89</v>
      </c>
      <c r="C2" s="320"/>
      <c r="D2" s="320"/>
      <c r="E2" s="320"/>
      <c r="F2" s="320"/>
      <c r="G2" s="320"/>
      <c r="H2" s="320"/>
      <c r="I2" s="320"/>
      <c r="J2" s="320"/>
      <c r="K2" s="320"/>
      <c r="L2" s="320"/>
    </row>
    <row r="3" spans="2:12" ht="19.5" customHeight="1">
      <c r="B3" s="321" t="s">
        <v>90</v>
      </c>
      <c r="C3" s="321"/>
      <c r="D3" s="321"/>
      <c r="E3" s="321"/>
      <c r="F3" s="321"/>
      <c r="G3" s="321"/>
      <c r="H3" s="321"/>
      <c r="I3" s="321"/>
      <c r="J3" s="321"/>
      <c r="K3" s="321"/>
      <c r="L3" s="321"/>
    </row>
    <row r="4" spans="2:12" ht="19.5" customHeight="1">
      <c r="B4" s="321" t="s">
        <v>222</v>
      </c>
      <c r="C4" s="321"/>
      <c r="D4" s="321"/>
      <c r="E4" s="321"/>
      <c r="F4" s="321"/>
      <c r="G4" s="321"/>
      <c r="H4" s="321"/>
      <c r="I4" s="321"/>
      <c r="J4" s="321"/>
      <c r="K4" s="321"/>
      <c r="L4" s="321"/>
    </row>
    <row r="5" spans="2:12" ht="19.5" customHeight="1">
      <c r="B5" s="321" t="s">
        <v>312</v>
      </c>
      <c r="C5" s="321"/>
      <c r="D5" s="321"/>
      <c r="E5" s="321"/>
      <c r="F5" s="321"/>
      <c r="G5" s="321"/>
      <c r="H5" s="321"/>
      <c r="I5" s="321"/>
      <c r="J5" s="321"/>
      <c r="K5" s="321"/>
      <c r="L5" s="321"/>
    </row>
    <row r="6" spans="2:12" ht="19.5" customHeight="1"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</row>
    <row r="7" spans="2:12" ht="19.5" customHeight="1"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</row>
    <row r="8" spans="2:12" ht="19.5" customHeight="1"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</row>
    <row r="9" spans="2:12" ht="19.5" customHeight="1"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</row>
    <row r="10" spans="2:12" ht="19.5" customHeight="1"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</row>
    <row r="11" spans="2:12" ht="19.5" customHeight="1">
      <c r="B11" s="136"/>
      <c r="C11" s="136"/>
      <c r="D11" s="136"/>
      <c r="E11" s="136"/>
      <c r="F11" s="136"/>
      <c r="G11" s="136"/>
      <c r="H11" s="136"/>
      <c r="I11" s="136"/>
      <c r="J11" s="136"/>
      <c r="K11" s="136"/>
      <c r="L11" s="136"/>
    </row>
    <row r="12" spans="2:12" ht="19.5" customHeight="1">
      <c r="B12" s="136"/>
      <c r="C12" s="136"/>
      <c r="D12" s="136"/>
      <c r="E12" s="136"/>
      <c r="F12" s="136"/>
      <c r="G12" s="136"/>
      <c r="H12" s="136"/>
      <c r="I12" s="136"/>
      <c r="J12" s="136"/>
      <c r="K12" s="136"/>
      <c r="L12" s="136"/>
    </row>
    <row r="37" spans="1:45" ht="19.5" customHeight="1">
      <c r="A37" s="7" t="s">
        <v>16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</row>
    <row r="38" spans="1:45" ht="19.5" customHeight="1" thickBot="1">
      <c r="A38" s="9" t="s">
        <v>15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</row>
    <row r="39" spans="1:45" ht="19.5" customHeight="1" thickTop="1">
      <c r="B39" s="6" t="s">
        <v>17</v>
      </c>
    </row>
    <row r="45" spans="1:45" ht="19.5" customHeight="1">
      <c r="B45" s="137" t="s">
        <v>210</v>
      </c>
      <c r="C45" s="138"/>
      <c r="D45" s="138"/>
      <c r="E45" s="138"/>
      <c r="F45" s="138"/>
      <c r="G45" s="138"/>
      <c r="H45" s="138"/>
      <c r="I45" s="138"/>
      <c r="J45" s="138"/>
      <c r="K45" s="138" t="s">
        <v>211</v>
      </c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9"/>
      <c r="X45" s="137" t="s">
        <v>210</v>
      </c>
      <c r="Y45" s="138"/>
      <c r="Z45" s="138"/>
      <c r="AA45" s="138"/>
      <c r="AB45" s="138"/>
      <c r="AC45" s="138"/>
      <c r="AD45" s="138"/>
      <c r="AE45" s="138"/>
      <c r="AF45" s="138"/>
      <c r="AG45" s="138" t="s">
        <v>211</v>
      </c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9"/>
    </row>
    <row r="46" spans="1:45" ht="19.5" customHeight="1">
      <c r="B46" s="155" t="s">
        <v>214</v>
      </c>
      <c r="C46" s="158"/>
      <c r="D46" s="158"/>
      <c r="E46" s="158"/>
      <c r="F46" s="158"/>
      <c r="G46" s="158"/>
      <c r="H46" s="158"/>
      <c r="I46" s="158"/>
      <c r="J46" s="158"/>
      <c r="K46" s="163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56"/>
      <c r="X46" s="173" t="s">
        <v>252</v>
      </c>
      <c r="Y46" s="165"/>
      <c r="Z46" s="165"/>
      <c r="AA46" s="165"/>
      <c r="AB46" s="165"/>
      <c r="AC46" s="149"/>
      <c r="AD46" s="149"/>
      <c r="AE46" s="149"/>
      <c r="AF46" s="149"/>
      <c r="AG46" s="164"/>
      <c r="AH46" s="165"/>
      <c r="AI46" s="165"/>
      <c r="AJ46" s="165"/>
      <c r="AK46" s="165"/>
      <c r="AL46" s="165"/>
      <c r="AM46" s="165"/>
      <c r="AN46" s="165"/>
      <c r="AO46" s="165"/>
      <c r="AP46" s="165"/>
      <c r="AQ46" s="165"/>
      <c r="AR46" s="166"/>
    </row>
    <row r="47" spans="1:45" ht="19.5" customHeight="1">
      <c r="B47" s="157"/>
      <c r="C47" s="159" t="s">
        <v>212</v>
      </c>
      <c r="D47" s="159"/>
      <c r="E47" s="159"/>
      <c r="F47" s="159"/>
      <c r="G47" s="159"/>
      <c r="H47" s="159"/>
      <c r="I47" s="159"/>
      <c r="J47" s="159"/>
      <c r="K47" s="167" t="s">
        <v>248</v>
      </c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56"/>
      <c r="X47" s="164"/>
      <c r="Y47" s="168" t="s">
        <v>253</v>
      </c>
      <c r="Z47" s="165"/>
      <c r="AA47" s="165"/>
      <c r="AB47" s="165"/>
      <c r="AC47" s="149"/>
      <c r="AD47" s="149"/>
      <c r="AE47" s="149"/>
      <c r="AF47" s="149"/>
      <c r="AG47" s="164"/>
      <c r="AH47" s="165"/>
      <c r="AI47" s="165"/>
      <c r="AJ47" s="165"/>
      <c r="AK47" s="165"/>
      <c r="AL47" s="165"/>
      <c r="AM47" s="165"/>
      <c r="AN47" s="165"/>
      <c r="AO47" s="165"/>
      <c r="AP47" s="165"/>
      <c r="AQ47" s="165"/>
      <c r="AR47" s="166"/>
    </row>
    <row r="48" spans="1:45" ht="19.5" customHeight="1">
      <c r="B48" s="157"/>
      <c r="C48" s="162" t="s">
        <v>215</v>
      </c>
      <c r="D48" s="159"/>
      <c r="E48" s="159"/>
      <c r="F48" s="159"/>
      <c r="G48" s="159"/>
      <c r="H48" s="159"/>
      <c r="I48" s="159"/>
      <c r="J48" s="159"/>
      <c r="K48" s="167" t="s">
        <v>249</v>
      </c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56"/>
      <c r="X48" s="164"/>
      <c r="Y48" s="168" t="s">
        <v>254</v>
      </c>
      <c r="Z48" s="165"/>
      <c r="AA48" s="165"/>
      <c r="AB48" s="165"/>
      <c r="AC48" s="149"/>
      <c r="AD48" s="149"/>
      <c r="AE48" s="149"/>
      <c r="AF48" s="149"/>
      <c r="AG48" s="164"/>
      <c r="AH48" s="165"/>
      <c r="AI48" s="165"/>
      <c r="AJ48" s="165"/>
      <c r="AK48" s="165"/>
      <c r="AL48" s="165"/>
      <c r="AM48" s="165"/>
      <c r="AN48" s="165"/>
      <c r="AO48" s="165"/>
      <c r="AP48" s="165"/>
      <c r="AQ48" s="165"/>
      <c r="AR48" s="166"/>
    </row>
    <row r="49" spans="2:44" ht="19.5" customHeight="1">
      <c r="B49" s="161"/>
      <c r="C49" s="153"/>
      <c r="D49" s="160" t="s">
        <v>224</v>
      </c>
      <c r="E49" s="147"/>
      <c r="F49" s="147"/>
      <c r="G49" s="147"/>
      <c r="H49" s="147"/>
      <c r="I49" s="147"/>
      <c r="J49" s="147"/>
      <c r="K49" s="173" t="s">
        <v>250</v>
      </c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6"/>
      <c r="X49" s="164"/>
      <c r="Y49" s="168" t="s">
        <v>255</v>
      </c>
      <c r="Z49" s="165"/>
      <c r="AA49" s="165"/>
      <c r="AB49" s="165"/>
      <c r="AC49" s="149"/>
      <c r="AD49" s="149"/>
      <c r="AE49" s="149"/>
      <c r="AF49" s="149"/>
      <c r="AG49" s="164"/>
      <c r="AH49" s="165"/>
      <c r="AI49" s="165"/>
      <c r="AJ49" s="165"/>
      <c r="AK49" s="165"/>
      <c r="AL49" s="165"/>
      <c r="AM49" s="165"/>
      <c r="AN49" s="165"/>
      <c r="AO49" s="165"/>
      <c r="AP49" s="165"/>
      <c r="AQ49" s="165"/>
      <c r="AR49" s="166"/>
    </row>
    <row r="50" spans="2:44" ht="19.5" customHeight="1">
      <c r="B50" s="161"/>
      <c r="C50" s="160" t="s">
        <v>225</v>
      </c>
      <c r="D50" s="147"/>
      <c r="E50" s="147"/>
      <c r="F50" s="147"/>
      <c r="G50" s="147"/>
      <c r="H50" s="147"/>
      <c r="I50" s="147"/>
      <c r="J50" s="147"/>
      <c r="K50" s="173" t="s">
        <v>251</v>
      </c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6"/>
      <c r="X50" s="173" t="s">
        <v>256</v>
      </c>
      <c r="Y50" s="165"/>
      <c r="Z50" s="165"/>
      <c r="AA50" s="165"/>
      <c r="AB50" s="165"/>
      <c r="AC50" s="149"/>
      <c r="AD50" s="149"/>
      <c r="AE50" s="149"/>
      <c r="AF50" s="149"/>
      <c r="AG50" s="164"/>
      <c r="AH50" s="165"/>
      <c r="AI50" s="165"/>
      <c r="AJ50" s="165"/>
      <c r="AK50" s="165"/>
      <c r="AL50" s="165"/>
      <c r="AM50" s="165"/>
      <c r="AN50" s="165"/>
      <c r="AO50" s="165"/>
      <c r="AP50" s="165"/>
      <c r="AQ50" s="165"/>
      <c r="AR50" s="166"/>
    </row>
    <row r="51" spans="2:44" ht="19.5" customHeight="1">
      <c r="B51" s="161"/>
      <c r="C51" s="162" t="s">
        <v>226</v>
      </c>
      <c r="D51" s="147"/>
      <c r="E51" s="147"/>
      <c r="F51" s="147"/>
      <c r="G51" s="147"/>
      <c r="H51" s="147"/>
      <c r="I51" s="147"/>
      <c r="J51" s="148"/>
      <c r="K51" s="164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6"/>
      <c r="X51" s="164"/>
      <c r="Y51" s="168" t="s">
        <v>257</v>
      </c>
      <c r="Z51" s="165"/>
      <c r="AA51" s="165"/>
      <c r="AB51" s="165"/>
      <c r="AC51" s="149"/>
      <c r="AD51" s="149"/>
      <c r="AE51" s="149"/>
      <c r="AF51" s="149"/>
      <c r="AG51" s="164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6"/>
    </row>
    <row r="52" spans="2:44" ht="19.5" customHeight="1">
      <c r="B52" s="150"/>
      <c r="C52" s="150"/>
      <c r="D52" s="154" t="s">
        <v>226</v>
      </c>
      <c r="E52" s="147"/>
      <c r="F52" s="147"/>
      <c r="G52" s="147"/>
      <c r="H52" s="147"/>
      <c r="I52" s="147"/>
      <c r="J52" s="148"/>
      <c r="K52" s="164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6"/>
      <c r="X52" s="164"/>
      <c r="Y52" s="168" t="s">
        <v>258</v>
      </c>
      <c r="Z52" s="165"/>
      <c r="AA52" s="165"/>
      <c r="AB52" s="165"/>
      <c r="AC52" s="149"/>
      <c r="AD52" s="149"/>
      <c r="AE52" s="149"/>
      <c r="AF52" s="149"/>
      <c r="AG52" s="164"/>
      <c r="AH52" s="165"/>
      <c r="AI52" s="165"/>
      <c r="AJ52" s="165"/>
      <c r="AK52" s="165"/>
      <c r="AL52" s="165"/>
      <c r="AM52" s="165"/>
      <c r="AN52" s="165"/>
      <c r="AO52" s="165"/>
      <c r="AP52" s="165"/>
      <c r="AQ52" s="165"/>
      <c r="AR52" s="166"/>
    </row>
    <row r="53" spans="2:44" ht="19.5" customHeight="1">
      <c r="B53" s="153"/>
      <c r="C53" s="153"/>
      <c r="D53" s="147" t="s">
        <v>227</v>
      </c>
      <c r="E53" s="147"/>
      <c r="F53" s="147"/>
      <c r="G53" s="152"/>
      <c r="H53" s="152"/>
      <c r="I53" s="152"/>
      <c r="J53" s="148"/>
      <c r="K53" s="164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6"/>
      <c r="X53" s="173" t="s">
        <v>259</v>
      </c>
      <c r="Y53" s="165"/>
      <c r="Z53" s="165"/>
      <c r="AA53" s="165"/>
      <c r="AB53" s="165"/>
      <c r="AC53" s="149"/>
      <c r="AD53" s="149"/>
      <c r="AE53" s="149"/>
      <c r="AF53" s="149"/>
      <c r="AG53" s="164"/>
      <c r="AH53" s="165"/>
      <c r="AI53" s="165"/>
      <c r="AJ53" s="165"/>
      <c r="AK53" s="165"/>
      <c r="AL53" s="165"/>
      <c r="AM53" s="165"/>
      <c r="AN53" s="165"/>
      <c r="AO53" s="165"/>
      <c r="AP53" s="165"/>
      <c r="AQ53" s="165"/>
      <c r="AR53" s="166"/>
    </row>
    <row r="54" spans="2:44" ht="19.5" customHeight="1">
      <c r="B54" s="151" t="s">
        <v>228</v>
      </c>
      <c r="C54" s="147"/>
      <c r="D54" s="147"/>
      <c r="E54" s="147"/>
      <c r="F54" s="147"/>
      <c r="G54" s="152"/>
      <c r="H54" s="152"/>
      <c r="I54" s="152"/>
      <c r="J54" s="147"/>
      <c r="K54" s="164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6"/>
      <c r="X54" s="164"/>
      <c r="Y54" s="168" t="s">
        <v>257</v>
      </c>
      <c r="Z54" s="165"/>
      <c r="AA54" s="165"/>
      <c r="AB54" s="165"/>
      <c r="AC54" s="149"/>
      <c r="AD54" s="149"/>
      <c r="AE54" s="149"/>
      <c r="AF54" s="149"/>
      <c r="AG54" s="164"/>
      <c r="AH54" s="165"/>
      <c r="AI54" s="165"/>
      <c r="AJ54" s="165"/>
      <c r="AK54" s="165"/>
      <c r="AL54" s="165"/>
      <c r="AM54" s="165"/>
      <c r="AN54" s="165"/>
      <c r="AO54" s="165"/>
      <c r="AP54" s="165"/>
      <c r="AQ54" s="165"/>
      <c r="AR54" s="166"/>
    </row>
    <row r="55" spans="2:44" ht="19.5" customHeight="1">
      <c r="B55" s="150"/>
      <c r="C55" s="160" t="s">
        <v>236</v>
      </c>
      <c r="D55" s="147"/>
      <c r="E55" s="147"/>
      <c r="F55" s="147"/>
      <c r="G55" s="152"/>
      <c r="H55" s="152"/>
      <c r="I55" s="152"/>
      <c r="J55" s="147"/>
      <c r="K55" s="164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6"/>
      <c r="X55" s="164"/>
      <c r="Y55" s="168" t="s">
        <v>258</v>
      </c>
      <c r="Z55" s="165"/>
      <c r="AA55" s="165"/>
      <c r="AB55" s="165"/>
      <c r="AC55" s="149"/>
      <c r="AD55" s="149"/>
      <c r="AE55" s="149"/>
      <c r="AF55" s="149"/>
      <c r="AG55" s="164"/>
      <c r="AH55" s="165"/>
      <c r="AI55" s="165"/>
      <c r="AJ55" s="165"/>
      <c r="AK55" s="165"/>
      <c r="AL55" s="165"/>
      <c r="AM55" s="165"/>
      <c r="AN55" s="165"/>
      <c r="AO55" s="165"/>
      <c r="AP55" s="165"/>
      <c r="AQ55" s="165"/>
      <c r="AR55" s="166"/>
    </row>
    <row r="56" spans="2:44" ht="19.5" customHeight="1">
      <c r="B56" s="150"/>
      <c r="C56" s="147" t="s">
        <v>229</v>
      </c>
      <c r="D56" s="147"/>
      <c r="E56" s="147"/>
      <c r="F56" s="147"/>
      <c r="G56" s="152"/>
      <c r="H56" s="152"/>
      <c r="I56" s="152"/>
      <c r="J56" s="147"/>
      <c r="K56" s="164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6"/>
      <c r="X56" s="164"/>
      <c r="Y56" s="165"/>
      <c r="Z56" s="165"/>
      <c r="AA56" s="165"/>
      <c r="AB56" s="165"/>
      <c r="AC56" s="149"/>
      <c r="AD56" s="149"/>
      <c r="AE56" s="149"/>
      <c r="AF56" s="149"/>
      <c r="AG56" s="164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6"/>
    </row>
    <row r="57" spans="2:44" ht="19.5" customHeight="1">
      <c r="B57" s="153"/>
      <c r="C57" s="147" t="s">
        <v>230</v>
      </c>
      <c r="D57" s="147"/>
      <c r="E57" s="147"/>
      <c r="F57" s="147"/>
      <c r="G57" s="147"/>
      <c r="H57" s="147"/>
      <c r="I57" s="147"/>
      <c r="J57" s="147"/>
      <c r="K57" s="163" t="s">
        <v>213</v>
      </c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6"/>
      <c r="X57" s="164"/>
      <c r="Y57" s="165"/>
      <c r="Z57" s="165"/>
      <c r="AA57" s="165"/>
      <c r="AB57" s="165"/>
      <c r="AC57" s="149"/>
      <c r="AD57" s="149"/>
      <c r="AE57" s="149"/>
      <c r="AF57" s="149"/>
      <c r="AG57" s="164"/>
      <c r="AH57" s="165"/>
      <c r="AI57" s="165"/>
      <c r="AJ57" s="165"/>
      <c r="AK57" s="165"/>
      <c r="AL57" s="165"/>
      <c r="AM57" s="165"/>
      <c r="AN57" s="165"/>
      <c r="AO57" s="165"/>
      <c r="AP57" s="165"/>
      <c r="AQ57" s="165"/>
      <c r="AR57" s="166"/>
    </row>
    <row r="58" spans="2:44" ht="19.5" customHeight="1">
      <c r="B58" s="146" t="s">
        <v>231</v>
      </c>
      <c r="C58" s="147"/>
      <c r="D58" s="147"/>
      <c r="E58" s="147"/>
      <c r="F58" s="147"/>
      <c r="G58" s="147"/>
      <c r="H58" s="147"/>
      <c r="I58" s="147"/>
      <c r="J58" s="147"/>
      <c r="K58" s="164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6"/>
      <c r="X58" s="164"/>
      <c r="Y58" s="165"/>
      <c r="Z58" s="165"/>
      <c r="AA58" s="165"/>
      <c r="AB58" s="165"/>
      <c r="AC58" s="149"/>
      <c r="AD58" s="149"/>
      <c r="AE58" s="149"/>
      <c r="AF58" s="149"/>
      <c r="AG58" s="164"/>
      <c r="AH58" s="165"/>
      <c r="AI58" s="165"/>
      <c r="AJ58" s="165"/>
      <c r="AK58" s="165"/>
      <c r="AL58" s="165"/>
      <c r="AM58" s="165"/>
      <c r="AN58" s="165"/>
      <c r="AO58" s="165"/>
      <c r="AP58" s="165"/>
      <c r="AQ58" s="165"/>
      <c r="AR58" s="166"/>
    </row>
    <row r="59" spans="2:44" ht="19.5" customHeight="1">
      <c r="B59" s="150"/>
      <c r="C59" s="147" t="s">
        <v>232</v>
      </c>
      <c r="D59" s="147"/>
      <c r="E59" s="147"/>
      <c r="F59" s="147"/>
      <c r="G59" s="147"/>
      <c r="H59" s="147"/>
      <c r="I59" s="147"/>
      <c r="J59" s="147"/>
      <c r="K59" s="164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6"/>
      <c r="X59" s="164"/>
      <c r="Y59" s="165"/>
      <c r="Z59" s="165"/>
      <c r="AA59" s="165"/>
      <c r="AB59" s="165"/>
      <c r="AC59" s="149"/>
      <c r="AD59" s="149"/>
      <c r="AE59" s="149"/>
      <c r="AF59" s="149"/>
      <c r="AG59" s="164"/>
      <c r="AH59" s="165"/>
      <c r="AI59" s="165"/>
      <c r="AJ59" s="165"/>
      <c r="AK59" s="165"/>
      <c r="AL59" s="165"/>
      <c r="AM59" s="165"/>
      <c r="AN59" s="165"/>
      <c r="AO59" s="165"/>
      <c r="AP59" s="165"/>
      <c r="AQ59" s="165"/>
      <c r="AR59" s="166"/>
    </row>
    <row r="60" spans="2:44" ht="19.5" customHeight="1">
      <c r="B60" s="150"/>
      <c r="C60" s="147" t="s">
        <v>233</v>
      </c>
      <c r="D60" s="147"/>
      <c r="E60" s="147"/>
      <c r="F60" s="147"/>
      <c r="G60" s="147"/>
      <c r="H60" s="147"/>
      <c r="I60" s="147"/>
      <c r="J60" s="147"/>
      <c r="K60" s="164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6"/>
      <c r="X60" s="164"/>
      <c r="Y60" s="165"/>
      <c r="Z60" s="165"/>
      <c r="AA60" s="165"/>
      <c r="AB60" s="165"/>
      <c r="AC60" s="149"/>
      <c r="AD60" s="149"/>
      <c r="AE60" s="149"/>
      <c r="AF60" s="149"/>
      <c r="AG60" s="164"/>
      <c r="AH60" s="165"/>
      <c r="AI60" s="165"/>
      <c r="AJ60" s="165"/>
      <c r="AK60" s="165"/>
      <c r="AL60" s="165"/>
      <c r="AM60" s="165"/>
      <c r="AN60" s="165"/>
      <c r="AO60" s="165"/>
      <c r="AP60" s="165"/>
      <c r="AQ60" s="165"/>
      <c r="AR60" s="166"/>
    </row>
    <row r="61" spans="2:44" ht="19.5" customHeight="1">
      <c r="B61" s="150"/>
      <c r="C61" s="147" t="s">
        <v>234</v>
      </c>
      <c r="D61" s="147"/>
      <c r="E61" s="147"/>
      <c r="F61" s="147"/>
      <c r="G61" s="147"/>
      <c r="H61" s="147"/>
      <c r="I61" s="147"/>
      <c r="J61" s="147"/>
      <c r="K61" s="164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6"/>
      <c r="X61" s="164"/>
      <c r="Y61" s="165"/>
      <c r="Z61" s="165"/>
      <c r="AA61" s="165"/>
      <c r="AB61" s="165"/>
      <c r="AC61" s="149"/>
      <c r="AD61" s="149"/>
      <c r="AE61" s="149"/>
      <c r="AF61" s="149"/>
      <c r="AG61" s="164"/>
      <c r="AH61" s="165"/>
      <c r="AI61" s="165"/>
      <c r="AJ61" s="165"/>
      <c r="AK61" s="165"/>
      <c r="AL61" s="165"/>
      <c r="AM61" s="165"/>
      <c r="AN61" s="165"/>
      <c r="AO61" s="165"/>
      <c r="AP61" s="165"/>
      <c r="AQ61" s="165"/>
      <c r="AR61" s="166"/>
    </row>
    <row r="62" spans="2:44" ht="19.5" customHeight="1">
      <c r="B62" s="150"/>
      <c r="C62" s="149" t="s">
        <v>235</v>
      </c>
      <c r="D62" s="149"/>
      <c r="E62" s="149"/>
      <c r="F62" s="149"/>
      <c r="G62" s="149"/>
      <c r="H62" s="149"/>
      <c r="I62" s="149"/>
      <c r="J62" s="149"/>
      <c r="K62" s="164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6"/>
      <c r="X62" s="164"/>
      <c r="Y62" s="165"/>
      <c r="Z62" s="165"/>
      <c r="AA62" s="165"/>
      <c r="AB62" s="165"/>
      <c r="AC62" s="149"/>
      <c r="AD62" s="149"/>
      <c r="AE62" s="149"/>
      <c r="AF62" s="149"/>
      <c r="AG62" s="164"/>
      <c r="AH62" s="165"/>
      <c r="AI62" s="165"/>
      <c r="AJ62" s="165"/>
      <c r="AK62" s="165"/>
      <c r="AL62" s="165"/>
      <c r="AM62" s="165"/>
      <c r="AN62" s="165"/>
      <c r="AO62" s="165"/>
      <c r="AP62" s="165"/>
      <c r="AQ62" s="165"/>
      <c r="AR62" s="166"/>
    </row>
    <row r="63" spans="2:44" ht="19.5" customHeight="1">
      <c r="B63" s="150"/>
      <c r="C63" s="172" t="s">
        <v>237</v>
      </c>
      <c r="D63" s="149"/>
      <c r="E63" s="149"/>
      <c r="F63" s="149"/>
      <c r="G63" s="149"/>
      <c r="H63" s="149"/>
      <c r="I63" s="149"/>
      <c r="J63" s="149"/>
      <c r="K63" s="164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6"/>
      <c r="X63" s="164"/>
      <c r="Y63" s="165"/>
      <c r="Z63" s="165"/>
      <c r="AA63" s="165"/>
      <c r="AB63" s="165"/>
      <c r="AC63" s="149"/>
      <c r="AD63" s="149"/>
      <c r="AE63" s="149"/>
      <c r="AF63" s="149"/>
      <c r="AG63" s="164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6"/>
    </row>
    <row r="64" spans="2:44" ht="19.5" customHeight="1">
      <c r="B64" s="150"/>
      <c r="C64" s="172" t="s">
        <v>238</v>
      </c>
      <c r="D64" s="149"/>
      <c r="E64" s="149"/>
      <c r="F64" s="149"/>
      <c r="G64" s="149"/>
      <c r="H64" s="149"/>
      <c r="I64" s="149"/>
      <c r="J64" s="149"/>
      <c r="K64" s="164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6"/>
      <c r="X64" s="164"/>
      <c r="Y64" s="165"/>
      <c r="Z64" s="165"/>
      <c r="AA64" s="165"/>
      <c r="AB64" s="165"/>
      <c r="AC64" s="149"/>
      <c r="AD64" s="149"/>
      <c r="AE64" s="149"/>
      <c r="AF64" s="149"/>
      <c r="AG64" s="164"/>
      <c r="AH64" s="165"/>
      <c r="AI64" s="165"/>
      <c r="AJ64" s="165"/>
      <c r="AK64" s="165"/>
      <c r="AL64" s="165"/>
      <c r="AM64" s="165"/>
      <c r="AN64" s="165"/>
      <c r="AO64" s="165"/>
      <c r="AP64" s="165"/>
      <c r="AQ64" s="165"/>
      <c r="AR64" s="166"/>
    </row>
    <row r="65" spans="1:45" ht="19.5" customHeight="1">
      <c r="B65" s="150"/>
      <c r="C65" s="149" t="s">
        <v>239</v>
      </c>
      <c r="D65" s="149"/>
      <c r="E65" s="149"/>
      <c r="F65" s="149"/>
      <c r="G65" s="149"/>
      <c r="H65" s="149"/>
      <c r="I65" s="149"/>
      <c r="J65" s="149"/>
      <c r="K65" s="164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6"/>
      <c r="X65" s="164"/>
      <c r="Y65" s="165"/>
      <c r="Z65" s="165"/>
      <c r="AA65" s="165"/>
      <c r="AB65" s="165"/>
      <c r="AC65" s="149"/>
      <c r="AD65" s="149"/>
      <c r="AE65" s="149"/>
      <c r="AF65" s="149"/>
      <c r="AG65" s="164"/>
      <c r="AH65" s="165"/>
      <c r="AI65" s="165"/>
      <c r="AJ65" s="165"/>
      <c r="AK65" s="165"/>
      <c r="AL65" s="165"/>
      <c r="AM65" s="165"/>
      <c r="AN65" s="165"/>
      <c r="AO65" s="165"/>
      <c r="AP65" s="165"/>
      <c r="AQ65" s="165"/>
      <c r="AR65" s="166"/>
    </row>
    <row r="66" spans="1:45" ht="19.5" customHeight="1">
      <c r="B66" s="150"/>
      <c r="C66" s="149" t="s">
        <v>240</v>
      </c>
      <c r="D66" s="149"/>
      <c r="E66" s="149"/>
      <c r="F66" s="149"/>
      <c r="G66" s="149"/>
      <c r="H66" s="149"/>
      <c r="I66" s="149"/>
      <c r="J66" s="149"/>
      <c r="K66" s="164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6"/>
      <c r="X66" s="164"/>
      <c r="Y66" s="165"/>
      <c r="Z66" s="165"/>
      <c r="AA66" s="165"/>
      <c r="AB66" s="165"/>
      <c r="AC66" s="149"/>
      <c r="AD66" s="149"/>
      <c r="AE66" s="149"/>
      <c r="AF66" s="149"/>
      <c r="AG66" s="164"/>
      <c r="AH66" s="165"/>
      <c r="AI66" s="165"/>
      <c r="AJ66" s="165"/>
      <c r="AK66" s="165"/>
      <c r="AL66" s="165"/>
      <c r="AM66" s="165"/>
      <c r="AN66" s="165"/>
      <c r="AO66" s="165"/>
      <c r="AP66" s="165"/>
      <c r="AQ66" s="165"/>
      <c r="AR66" s="166"/>
    </row>
    <row r="67" spans="1:45" ht="19.5" customHeight="1">
      <c r="B67" s="150"/>
      <c r="C67" s="172" t="s">
        <v>245</v>
      </c>
      <c r="D67" s="149"/>
      <c r="E67" s="149"/>
      <c r="F67" s="149"/>
      <c r="G67" s="149"/>
      <c r="H67" s="149"/>
      <c r="I67" s="149"/>
      <c r="J67" s="149"/>
      <c r="K67" s="164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6"/>
      <c r="X67" s="164"/>
      <c r="Y67" s="165"/>
      <c r="Z67" s="165"/>
      <c r="AA67" s="165"/>
      <c r="AB67" s="165"/>
      <c r="AC67" s="149"/>
      <c r="AD67" s="149"/>
      <c r="AE67" s="149"/>
      <c r="AF67" s="149"/>
      <c r="AG67" s="164"/>
      <c r="AH67" s="165"/>
      <c r="AI67" s="165"/>
      <c r="AJ67" s="165"/>
      <c r="AK67" s="165"/>
      <c r="AL67" s="165"/>
      <c r="AM67" s="165"/>
      <c r="AN67" s="165"/>
      <c r="AO67" s="165"/>
      <c r="AP67" s="165"/>
      <c r="AQ67" s="165"/>
      <c r="AR67" s="166"/>
    </row>
    <row r="68" spans="1:45" ht="19.5" customHeight="1">
      <c r="B68" s="150"/>
      <c r="C68" s="149" t="s">
        <v>241</v>
      </c>
      <c r="D68" s="149"/>
      <c r="E68" s="149"/>
      <c r="F68" s="149"/>
      <c r="G68" s="149"/>
      <c r="H68" s="149"/>
      <c r="I68" s="149"/>
      <c r="J68" s="149"/>
      <c r="K68" s="164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6"/>
      <c r="X68" s="164"/>
      <c r="Y68" s="165"/>
      <c r="Z68" s="165"/>
      <c r="AA68" s="165"/>
      <c r="AB68" s="165"/>
      <c r="AC68" s="149"/>
      <c r="AD68" s="149"/>
      <c r="AE68" s="149"/>
      <c r="AF68" s="149"/>
      <c r="AG68" s="164"/>
      <c r="AH68" s="165"/>
      <c r="AI68" s="165"/>
      <c r="AJ68" s="165"/>
      <c r="AK68" s="165"/>
      <c r="AL68" s="165"/>
      <c r="AM68" s="165"/>
      <c r="AN68" s="165"/>
      <c r="AO68" s="165"/>
      <c r="AP68" s="165"/>
      <c r="AQ68" s="165"/>
      <c r="AR68" s="166"/>
    </row>
    <row r="69" spans="1:45" ht="19.5" customHeight="1">
      <c r="B69" s="150"/>
      <c r="C69" s="149" t="s">
        <v>242</v>
      </c>
      <c r="D69" s="149"/>
      <c r="E69" s="149"/>
      <c r="F69" s="149"/>
      <c r="G69" s="149"/>
      <c r="H69" s="149"/>
      <c r="I69" s="149"/>
      <c r="J69" s="149"/>
      <c r="K69" s="164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6"/>
      <c r="X69" s="164"/>
      <c r="Y69" s="165"/>
      <c r="Z69" s="165"/>
      <c r="AA69" s="165"/>
      <c r="AB69" s="165"/>
      <c r="AC69" s="149"/>
      <c r="AD69" s="149"/>
      <c r="AE69" s="149"/>
      <c r="AF69" s="149"/>
      <c r="AG69" s="164"/>
      <c r="AH69" s="165"/>
      <c r="AI69" s="165"/>
      <c r="AJ69" s="165"/>
      <c r="AK69" s="165"/>
      <c r="AL69" s="165"/>
      <c r="AM69" s="165"/>
      <c r="AN69" s="165"/>
      <c r="AO69" s="165"/>
      <c r="AP69" s="165"/>
      <c r="AQ69" s="165"/>
      <c r="AR69" s="166"/>
    </row>
    <row r="70" spans="1:45" ht="19.5" customHeight="1">
      <c r="B70" s="150"/>
      <c r="C70" s="149" t="s">
        <v>243</v>
      </c>
      <c r="D70" s="149"/>
      <c r="E70" s="149"/>
      <c r="F70" s="149"/>
      <c r="G70" s="149"/>
      <c r="H70" s="149"/>
      <c r="I70" s="149"/>
      <c r="J70" s="149"/>
      <c r="K70" s="164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6"/>
      <c r="X70" s="164"/>
      <c r="Y70" s="165"/>
      <c r="Z70" s="165"/>
      <c r="AA70" s="165"/>
      <c r="AB70" s="165"/>
      <c r="AC70" s="149"/>
      <c r="AD70" s="149"/>
      <c r="AE70" s="149"/>
      <c r="AF70" s="149"/>
      <c r="AG70" s="164"/>
      <c r="AH70" s="165"/>
      <c r="AI70" s="165"/>
      <c r="AJ70" s="165"/>
      <c r="AK70" s="165"/>
      <c r="AL70" s="165"/>
      <c r="AM70" s="165"/>
      <c r="AN70" s="165"/>
      <c r="AO70" s="165"/>
      <c r="AP70" s="165"/>
      <c r="AQ70" s="165"/>
      <c r="AR70" s="166"/>
    </row>
    <row r="71" spans="1:45" ht="19.5" customHeight="1">
      <c r="B71" s="150"/>
      <c r="C71" s="149" t="s">
        <v>244</v>
      </c>
      <c r="D71" s="149"/>
      <c r="E71" s="149"/>
      <c r="F71" s="149"/>
      <c r="G71" s="149"/>
      <c r="H71" s="149"/>
      <c r="I71" s="149"/>
      <c r="J71" s="149"/>
      <c r="K71" s="164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6"/>
      <c r="X71" s="164"/>
      <c r="Y71" s="165"/>
      <c r="Z71" s="165"/>
      <c r="AA71" s="165"/>
      <c r="AB71" s="165"/>
      <c r="AC71" s="149"/>
      <c r="AD71" s="149"/>
      <c r="AE71" s="149"/>
      <c r="AF71" s="149"/>
      <c r="AG71" s="164"/>
      <c r="AH71" s="165"/>
      <c r="AI71" s="165"/>
      <c r="AJ71" s="165"/>
      <c r="AK71" s="165"/>
      <c r="AL71" s="165"/>
      <c r="AM71" s="165"/>
      <c r="AN71" s="165"/>
      <c r="AO71" s="165"/>
      <c r="AP71" s="165"/>
      <c r="AQ71" s="165"/>
      <c r="AR71" s="166"/>
    </row>
    <row r="72" spans="1:45" ht="19.5" customHeight="1">
      <c r="B72" s="150"/>
      <c r="C72" s="149" t="s">
        <v>247</v>
      </c>
      <c r="D72" s="149"/>
      <c r="E72" s="149"/>
      <c r="F72" s="149"/>
      <c r="G72" s="149"/>
      <c r="H72" s="149"/>
      <c r="I72" s="149"/>
      <c r="J72" s="149"/>
      <c r="K72" s="164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6"/>
      <c r="X72" s="164"/>
      <c r="Y72" s="165"/>
      <c r="Z72" s="165"/>
      <c r="AA72" s="165"/>
      <c r="AB72" s="165"/>
      <c r="AC72" s="149"/>
      <c r="AD72" s="149"/>
      <c r="AE72" s="149"/>
      <c r="AF72" s="149"/>
      <c r="AG72" s="164"/>
      <c r="AH72" s="165"/>
      <c r="AI72" s="165"/>
      <c r="AJ72" s="165"/>
      <c r="AK72" s="165"/>
      <c r="AL72" s="165"/>
      <c r="AM72" s="165"/>
      <c r="AN72" s="165"/>
      <c r="AO72" s="165"/>
      <c r="AP72" s="165"/>
      <c r="AQ72" s="165"/>
      <c r="AR72" s="166"/>
    </row>
    <row r="73" spans="1:45" ht="19.5" customHeight="1">
      <c r="B73" s="153"/>
      <c r="C73" s="171" t="s">
        <v>246</v>
      </c>
      <c r="D73" s="171"/>
      <c r="E73" s="171"/>
      <c r="F73" s="171"/>
      <c r="G73" s="171"/>
      <c r="H73" s="171"/>
      <c r="I73" s="171"/>
      <c r="J73" s="171"/>
      <c r="K73" s="164"/>
      <c r="L73" s="171"/>
      <c r="M73" s="171"/>
      <c r="N73" s="171"/>
      <c r="O73" s="171"/>
      <c r="P73" s="165"/>
      <c r="Q73" s="165"/>
      <c r="R73" s="165"/>
      <c r="S73" s="165"/>
      <c r="T73" s="165"/>
      <c r="U73" s="165"/>
      <c r="V73" s="166"/>
      <c r="X73" s="164"/>
      <c r="Y73" s="165"/>
      <c r="Z73" s="165"/>
      <c r="AA73" s="165"/>
      <c r="AB73" s="165"/>
      <c r="AC73" s="149"/>
      <c r="AD73" s="149"/>
      <c r="AE73" s="149"/>
      <c r="AF73" s="149"/>
      <c r="AG73" s="164"/>
      <c r="AH73" s="165"/>
      <c r="AI73" s="165"/>
      <c r="AJ73" s="165"/>
      <c r="AK73" s="165"/>
      <c r="AL73" s="165"/>
      <c r="AM73" s="165"/>
      <c r="AN73" s="165"/>
      <c r="AO73" s="165"/>
      <c r="AP73" s="165"/>
      <c r="AQ73" s="165"/>
      <c r="AR73" s="166"/>
    </row>
    <row r="76" spans="1:45" s="142" customFormat="1" ht="19.5" customHeight="1" thickBot="1">
      <c r="A76" s="144" t="s">
        <v>216</v>
      </c>
      <c r="B76" s="141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</row>
    <row r="77" spans="1:45" s="142" customFormat="1" ht="19.5" customHeight="1" thickTop="1">
      <c r="B77" s="142" t="s">
        <v>217</v>
      </c>
      <c r="C77" s="143"/>
      <c r="D77" s="143"/>
      <c r="E77" s="143"/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</row>
    <row r="78" spans="1:45" s="142" customFormat="1" ht="19.5" customHeight="1">
      <c r="D78" s="143"/>
      <c r="E78" s="143"/>
      <c r="F78" s="143" t="s">
        <v>218</v>
      </c>
      <c r="G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</row>
    <row r="79" spans="1:45" s="142" customFormat="1" ht="19.5" customHeight="1">
      <c r="C79" s="143"/>
      <c r="D79" s="143"/>
      <c r="E79" s="143"/>
      <c r="F79" s="143"/>
      <c r="G79" s="143" t="s">
        <v>219</v>
      </c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</row>
    <row r="80" spans="1:45" s="142" customFormat="1" ht="19.5" customHeight="1"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</row>
    <row r="81" spans="3:41" s="142" customFormat="1" ht="19.5" customHeight="1"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</row>
    <row r="82" spans="3:41" s="142" customFormat="1" ht="19.5" customHeight="1">
      <c r="C82" s="143"/>
      <c r="D82" s="143"/>
      <c r="E82" s="143"/>
      <c r="F82" s="143" t="s">
        <v>220</v>
      </c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</row>
    <row r="83" spans="3:41" s="142" customFormat="1" ht="19.5" customHeight="1">
      <c r="C83" s="143"/>
      <c r="D83" s="143"/>
      <c r="E83" s="143"/>
      <c r="F83" s="143"/>
      <c r="G83" s="143" t="s">
        <v>221</v>
      </c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</row>
    <row r="84" spans="3:41" s="142" customFormat="1" ht="19.5" customHeight="1">
      <c r="C84" s="143"/>
      <c r="D84" s="143"/>
      <c r="E84" s="143"/>
      <c r="F84" s="143"/>
      <c r="G84" s="145" t="s">
        <v>223</v>
      </c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</row>
    <row r="85" spans="3:41" s="142" customFormat="1" ht="19.5" customHeight="1"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</row>
    <row r="86" spans="3:41" s="142" customFormat="1" ht="19.5" customHeight="1"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</row>
    <row r="87" spans="3:41" s="142" customFormat="1" ht="19.5" customHeight="1"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</row>
    <row r="88" spans="3:41" s="142" customFormat="1" ht="19.5" customHeight="1"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</row>
    <row r="89" spans="3:41" s="142" customFormat="1" ht="19.5" customHeight="1"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</row>
    <row r="90" spans="3:41" s="142" customFormat="1" ht="19.5" customHeight="1"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</row>
    <row r="91" spans="3:41" s="142" customFormat="1" ht="19.5" customHeight="1"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</row>
    <row r="92" spans="3:41" s="142" customFormat="1" ht="19.5" customHeight="1"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</row>
    <row r="93" spans="3:41" s="142" customFormat="1" ht="19.5" customHeight="1"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</row>
    <row r="94" spans="3:41" s="142" customFormat="1" ht="19.5" customHeight="1"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</row>
    <row r="97" spans="1:45" ht="19.5" customHeight="1" thickBot="1">
      <c r="A97" s="44" t="s">
        <v>311</v>
      </c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</row>
    <row r="98" spans="1:45" ht="19.5" customHeight="1" thickTop="1">
      <c r="B98" s="45" t="s">
        <v>82</v>
      </c>
    </row>
    <row r="100" spans="1:45" ht="19.5" customHeight="1">
      <c r="B100" s="46" t="s">
        <v>85</v>
      </c>
      <c r="C100" s="46"/>
      <c r="D100" s="46"/>
      <c r="E100" s="46"/>
      <c r="F100" s="46"/>
      <c r="G100" s="46"/>
      <c r="H100" s="46"/>
      <c r="I100" s="54" t="s">
        <v>86</v>
      </c>
      <c r="J100" s="55"/>
      <c r="K100" s="55"/>
      <c r="L100" s="55"/>
      <c r="M100" s="55"/>
      <c r="N100" s="56"/>
      <c r="O100" s="53"/>
      <c r="P100" s="53"/>
      <c r="Q100" s="53"/>
      <c r="R100" s="53"/>
      <c r="S100" s="53"/>
      <c r="T100" s="53"/>
      <c r="U100" s="53"/>
      <c r="V100" s="53"/>
    </row>
    <row r="101" spans="1:45" ht="19.5" customHeight="1">
      <c r="B101" s="47" t="s">
        <v>84</v>
      </c>
      <c r="C101" s="48"/>
      <c r="D101" s="48"/>
      <c r="E101" s="48"/>
      <c r="F101" s="48"/>
      <c r="G101" s="48"/>
      <c r="H101" s="48"/>
      <c r="I101" s="47" t="s">
        <v>88</v>
      </c>
      <c r="J101" s="48"/>
      <c r="K101" s="48"/>
      <c r="L101" s="48"/>
      <c r="M101" s="48"/>
      <c r="N101" s="49"/>
      <c r="O101" s="48" t="s">
        <v>91</v>
      </c>
      <c r="P101" s="48"/>
      <c r="Q101" s="48"/>
      <c r="R101" s="48"/>
      <c r="S101" s="48"/>
      <c r="T101" s="48"/>
      <c r="U101" s="48"/>
      <c r="V101" s="48"/>
    </row>
    <row r="102" spans="1:45" ht="19.5" customHeight="1">
      <c r="B102" s="47" t="s">
        <v>83</v>
      </c>
      <c r="C102" s="48"/>
      <c r="D102" s="48"/>
      <c r="E102" s="48"/>
      <c r="F102" s="48"/>
      <c r="G102" s="48"/>
      <c r="H102" s="48"/>
      <c r="I102" s="47" t="s">
        <v>87</v>
      </c>
      <c r="J102" s="48"/>
      <c r="K102" s="48"/>
      <c r="L102" s="48"/>
      <c r="M102" s="48"/>
      <c r="N102" s="49"/>
      <c r="O102" s="48" t="s">
        <v>91</v>
      </c>
      <c r="P102" s="48"/>
      <c r="Q102" s="48"/>
      <c r="R102" s="48"/>
      <c r="S102" s="48"/>
      <c r="T102" s="48"/>
      <c r="U102" s="48"/>
      <c r="V102" s="48"/>
    </row>
    <row r="103" spans="1:45" ht="19.5" customHeight="1">
      <c r="B103" s="50"/>
      <c r="C103" s="51"/>
      <c r="D103" s="51"/>
      <c r="E103" s="51"/>
      <c r="F103" s="51"/>
      <c r="G103" s="51"/>
      <c r="H103" s="51"/>
      <c r="I103" s="50"/>
      <c r="J103" s="51"/>
      <c r="K103" s="51"/>
      <c r="L103" s="51"/>
      <c r="M103" s="51"/>
      <c r="N103" s="52"/>
      <c r="O103" s="51"/>
      <c r="P103" s="51"/>
      <c r="Q103" s="51"/>
      <c r="R103" s="51"/>
      <c r="S103" s="51"/>
      <c r="T103" s="51"/>
      <c r="U103" s="51"/>
      <c r="V103" s="51"/>
    </row>
    <row r="104" spans="1:45" ht="19.5" customHeight="1">
      <c r="B104" s="50"/>
      <c r="C104" s="51"/>
      <c r="D104" s="51"/>
      <c r="E104" s="51"/>
      <c r="F104" s="51"/>
      <c r="G104" s="51"/>
      <c r="H104" s="51"/>
      <c r="I104" s="50"/>
      <c r="J104" s="51"/>
      <c r="K104" s="51"/>
      <c r="L104" s="51"/>
      <c r="M104" s="51"/>
      <c r="N104" s="52"/>
      <c r="O104" s="51"/>
      <c r="P104" s="51"/>
      <c r="Q104" s="51"/>
      <c r="R104" s="51"/>
      <c r="S104" s="51"/>
      <c r="T104" s="51"/>
      <c r="U104" s="51"/>
      <c r="V104" s="51"/>
    </row>
    <row r="105" spans="1:45" ht="19.5" customHeight="1">
      <c r="B105" s="50"/>
      <c r="C105" s="51"/>
      <c r="D105" s="51"/>
      <c r="E105" s="51"/>
      <c r="F105" s="51"/>
      <c r="G105" s="51"/>
      <c r="H105" s="51"/>
      <c r="I105" s="50"/>
      <c r="J105" s="51"/>
      <c r="K105" s="51"/>
      <c r="L105" s="51"/>
      <c r="M105" s="51"/>
      <c r="N105" s="52"/>
      <c r="O105" s="51"/>
      <c r="P105" s="51"/>
      <c r="Q105" s="51"/>
      <c r="R105" s="51"/>
      <c r="S105" s="51"/>
      <c r="T105" s="51"/>
      <c r="U105" s="51"/>
      <c r="V105" s="51"/>
    </row>
    <row r="106" spans="1:45" ht="19.5" customHeight="1">
      <c r="B106" s="50"/>
      <c r="C106" s="51"/>
      <c r="D106" s="51"/>
      <c r="E106" s="51"/>
      <c r="F106" s="51"/>
      <c r="G106" s="51"/>
      <c r="H106" s="51"/>
      <c r="I106" s="50"/>
      <c r="J106" s="51"/>
      <c r="K106" s="51"/>
      <c r="L106" s="51"/>
      <c r="M106" s="51"/>
      <c r="N106" s="52"/>
      <c r="O106" s="51"/>
      <c r="P106" s="51"/>
      <c r="Q106" s="51"/>
      <c r="R106" s="51"/>
      <c r="S106" s="51"/>
      <c r="T106" s="51"/>
      <c r="U106" s="51"/>
      <c r="V106" s="51"/>
    </row>
  </sheetData>
  <mergeCells count="6">
    <mergeCell ref="B7:L7"/>
    <mergeCell ref="B2:L2"/>
    <mergeCell ref="B3:L3"/>
    <mergeCell ref="B4:L4"/>
    <mergeCell ref="B5:L5"/>
    <mergeCell ref="B6:L6"/>
  </mergeCells>
  <phoneticPr fontId="22"/>
  <hyperlinks>
    <hyperlink ref="B2:L2" location="#A37" display="#A37"/>
    <hyperlink ref="B3:L3" location="#A38" display="#A38"/>
    <hyperlink ref="B4:L4" location="#A76" display="#A76"/>
    <hyperlink ref="B5:L5" location="#A97" display="#A97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20"/>
    </sheetView>
  </sheetViews>
  <sheetFormatPr defaultRowHeight="16.5"/>
  <sheetData/>
  <sortState ref="A1:A20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54"/>
  <sheetViews>
    <sheetView topLeftCell="A13" workbookViewId="0">
      <selection activeCell="B24" sqref="B24"/>
    </sheetView>
  </sheetViews>
  <sheetFormatPr defaultRowHeight="15" customHeight="1"/>
  <cols>
    <col min="1" max="1" width="9" style="5"/>
    <col min="2" max="2" width="70.625" style="5" customWidth="1"/>
    <col min="3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274">
        <v>1</v>
      </c>
      <c r="B2" s="274" t="s">
        <v>323</v>
      </c>
    </row>
    <row r="3" spans="1:2" ht="15" customHeight="1">
      <c r="A3" s="274">
        <v>2</v>
      </c>
      <c r="B3" s="274" t="s">
        <v>324</v>
      </c>
    </row>
    <row r="4" spans="1:2" ht="15" customHeight="1">
      <c r="A4" s="274">
        <v>3</v>
      </c>
      <c r="B4" s="274" t="s">
        <v>325</v>
      </c>
    </row>
    <row r="5" spans="1:2" ht="15" customHeight="1">
      <c r="A5" s="274">
        <v>4</v>
      </c>
      <c r="B5" s="274" t="s">
        <v>326</v>
      </c>
    </row>
    <row r="6" spans="1:2" ht="15" customHeight="1">
      <c r="A6" s="5">
        <v>5</v>
      </c>
    </row>
    <row r="12" spans="1:2" ht="15" customHeight="1">
      <c r="A12" s="5">
        <v>100</v>
      </c>
      <c r="B12" s="5" t="s">
        <v>14</v>
      </c>
    </row>
    <row r="17" spans="1:2" ht="15" customHeight="1">
      <c r="A17" s="5">
        <v>200</v>
      </c>
      <c r="B17" s="5" t="s">
        <v>13</v>
      </c>
    </row>
    <row r="18" spans="1:2" ht="15" customHeight="1">
      <c r="A18" s="274">
        <v>201</v>
      </c>
      <c r="B18" s="274" t="s">
        <v>318</v>
      </c>
    </row>
    <row r="19" spans="1:2" ht="15" customHeight="1">
      <c r="A19" s="274">
        <v>202</v>
      </c>
      <c r="B19" s="274" t="s">
        <v>319</v>
      </c>
    </row>
    <row r="20" spans="1:2" ht="15" customHeight="1">
      <c r="A20" s="274">
        <v>203</v>
      </c>
      <c r="B20" s="274" t="s">
        <v>320</v>
      </c>
    </row>
    <row r="21" spans="1:2" ht="15" customHeight="1">
      <c r="A21" s="274">
        <v>204</v>
      </c>
      <c r="B21" s="274" t="s">
        <v>321</v>
      </c>
    </row>
    <row r="22" spans="1:2" ht="15" customHeight="1">
      <c r="A22" s="274">
        <v>205</v>
      </c>
      <c r="B22" s="274" t="s">
        <v>322</v>
      </c>
    </row>
    <row r="24" spans="1:2" ht="15" customHeight="1">
      <c r="A24" s="274">
        <v>400</v>
      </c>
      <c r="B24" s="274" t="s">
        <v>317</v>
      </c>
    </row>
    <row r="25" spans="1:2" ht="15" customHeight="1">
      <c r="A25" s="274">
        <v>401</v>
      </c>
      <c r="B25" s="273" t="s">
        <v>327</v>
      </c>
    </row>
    <row r="26" spans="1:2" ht="15" customHeight="1">
      <c r="A26" s="274">
        <v>402</v>
      </c>
      <c r="B26" s="273" t="s">
        <v>328</v>
      </c>
    </row>
    <row r="27" spans="1:2" ht="15" customHeight="1">
      <c r="A27" s="274">
        <v>403</v>
      </c>
      <c r="B27" s="274" t="s">
        <v>329</v>
      </c>
    </row>
    <row r="28" spans="1:2" ht="15" customHeight="1">
      <c r="A28" s="274">
        <v>404</v>
      </c>
      <c r="B28" s="274" t="s">
        <v>330</v>
      </c>
    </row>
    <row r="29" spans="1:2" ht="15" customHeight="1">
      <c r="A29" s="274">
        <v>405</v>
      </c>
      <c r="B29" s="274" t="s">
        <v>331</v>
      </c>
    </row>
    <row r="30" spans="1:2" ht="15" customHeight="1">
      <c r="A30" s="274">
        <v>406</v>
      </c>
      <c r="B30" s="274" t="s">
        <v>332</v>
      </c>
    </row>
    <row r="31" spans="1:2" ht="15" customHeight="1">
      <c r="A31" s="274">
        <v>407</v>
      </c>
      <c r="B31" s="274" t="s">
        <v>333</v>
      </c>
    </row>
    <row r="32" spans="1:2" ht="15" customHeight="1">
      <c r="A32" s="274">
        <v>408</v>
      </c>
      <c r="B32" s="274"/>
    </row>
    <row r="33" spans="1:2" ht="15" customHeight="1">
      <c r="A33" s="274">
        <v>409</v>
      </c>
      <c r="B33" s="274"/>
    </row>
    <row r="34" spans="1:2" ht="15" customHeight="1">
      <c r="A34" s="274">
        <v>410</v>
      </c>
      <c r="B34" s="274"/>
    </row>
    <row r="35" spans="1:2" ht="15" customHeight="1">
      <c r="A35" s="274"/>
      <c r="B35" s="274"/>
    </row>
    <row r="36" spans="1:2" ht="15" customHeight="1">
      <c r="A36" s="274"/>
      <c r="B36" s="274"/>
    </row>
    <row r="37" spans="1:2" ht="15" customHeight="1">
      <c r="A37" s="274"/>
      <c r="B37" s="274"/>
    </row>
    <row r="38" spans="1:2" ht="15" customHeight="1">
      <c r="A38" s="274"/>
      <c r="B38" s="274"/>
    </row>
    <row r="39" spans="1:2" ht="15" customHeight="1">
      <c r="A39" s="5">
        <v>450</v>
      </c>
      <c r="B39" s="5" t="s">
        <v>19</v>
      </c>
    </row>
    <row r="40" spans="1:2" ht="15" customHeight="1">
      <c r="A40" s="5">
        <v>450</v>
      </c>
      <c r="B40" s="34" t="s">
        <v>48</v>
      </c>
    </row>
    <row r="41" spans="1:2" ht="15" customHeight="1">
      <c r="A41" s="5">
        <v>451</v>
      </c>
      <c r="B41" s="34" t="s">
        <v>47</v>
      </c>
    </row>
    <row r="42" spans="1:2" ht="15" customHeight="1">
      <c r="A42" s="5">
        <v>452</v>
      </c>
      <c r="B42" s="5" t="s">
        <v>49</v>
      </c>
    </row>
    <row r="43" spans="1:2" ht="15" customHeight="1">
      <c r="A43" s="5">
        <v>453</v>
      </c>
      <c r="B43" s="5" t="s">
        <v>50</v>
      </c>
    </row>
    <row r="44" spans="1:2" ht="15" customHeight="1">
      <c r="A44" s="5">
        <v>454</v>
      </c>
      <c r="B44" s="5" t="s">
        <v>143</v>
      </c>
    </row>
    <row r="49" spans="1:2" ht="15" customHeight="1">
      <c r="A49" s="274"/>
    </row>
    <row r="51" spans="1:2" ht="15" customHeight="1">
      <c r="A51" s="274">
        <v>9</v>
      </c>
      <c r="B51" s="274" t="s">
        <v>313</v>
      </c>
    </row>
    <row r="52" spans="1:2" ht="15" customHeight="1">
      <c r="A52" s="274">
        <v>13</v>
      </c>
      <c r="B52" s="274" t="s">
        <v>314</v>
      </c>
    </row>
    <row r="53" spans="1:2" ht="15" customHeight="1">
      <c r="A53" s="274">
        <v>91</v>
      </c>
      <c r="B53" s="274" t="s">
        <v>315</v>
      </c>
    </row>
    <row r="54" spans="1:2" ht="15" customHeight="1">
      <c r="A54" s="274">
        <v>1004</v>
      </c>
      <c r="B54" s="274" t="s">
        <v>316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88"/>
  <sheetViews>
    <sheetView showGridLines="0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4" sqref="D4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65" customWidth="1"/>
    <col min="10" max="10" width="5.625" style="66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69" bestFit="1" customWidth="1"/>
    <col min="16" max="16" width="5.625" style="69" customWidth="1"/>
    <col min="17" max="17" width="10.625" style="73" customWidth="1"/>
    <col min="18" max="18" width="11.625" style="4" bestFit="1" customWidth="1"/>
    <col min="19" max="19" width="5.625" style="21" customWidth="1"/>
    <col min="20" max="20" width="13.25" style="21" customWidth="1"/>
    <col min="21" max="16384" width="3.125" style="21"/>
  </cols>
  <sheetData>
    <row r="1" spans="1:20" ht="20.100000000000001" customHeight="1">
      <c r="A1" s="322" t="s">
        <v>10</v>
      </c>
      <c r="B1" s="322"/>
      <c r="C1" s="13"/>
      <c r="D1" s="322" t="s">
        <v>9</v>
      </c>
      <c r="E1" s="322"/>
      <c r="F1" s="13"/>
      <c r="G1" s="322" t="s">
        <v>199</v>
      </c>
      <c r="H1" s="322"/>
      <c r="I1" s="322"/>
      <c r="K1" s="4"/>
      <c r="N1" s="13"/>
      <c r="O1" s="67"/>
      <c r="P1" s="68"/>
      <c r="Q1" s="123"/>
      <c r="R1" s="13"/>
      <c r="S1" s="70"/>
      <c r="T1" s="70"/>
    </row>
    <row r="2" spans="1:20" ht="20.100000000000001" customHeight="1">
      <c r="A2" s="16" t="s">
        <v>5</v>
      </c>
      <c r="B2" s="16" t="s">
        <v>6</v>
      </c>
      <c r="C2" s="14"/>
      <c r="D2" s="16" t="s">
        <v>5</v>
      </c>
      <c r="E2" s="16" t="s">
        <v>6</v>
      </c>
      <c r="F2" s="14"/>
      <c r="G2" s="16" t="s">
        <v>5</v>
      </c>
      <c r="H2" s="62"/>
      <c r="I2" s="62" t="s">
        <v>7</v>
      </c>
      <c r="K2" s="175" t="s">
        <v>1</v>
      </c>
      <c r="L2" s="175" t="s">
        <v>155</v>
      </c>
      <c r="M2" s="175" t="s">
        <v>6</v>
      </c>
      <c r="N2" s="14"/>
      <c r="O2" s="176" t="s">
        <v>198</v>
      </c>
      <c r="Q2" s="323" t="s">
        <v>200</v>
      </c>
      <c r="R2" s="324"/>
      <c r="S2" s="70"/>
      <c r="T2" s="175" t="s">
        <v>75</v>
      </c>
    </row>
    <row r="3" spans="1:20" s="71" customFormat="1" ht="20.100000000000001" customHeight="1">
      <c r="A3" s="181" t="s">
        <v>18</v>
      </c>
      <c r="B3" s="182" t="s">
        <v>309</v>
      </c>
      <c r="C3" s="14"/>
      <c r="D3" s="1"/>
      <c r="E3" s="15"/>
      <c r="F3" s="14"/>
      <c r="G3" s="39" t="s">
        <v>56</v>
      </c>
      <c r="H3" s="63" t="s">
        <v>64</v>
      </c>
      <c r="I3" s="64" t="s">
        <v>148</v>
      </c>
      <c r="J3" s="66"/>
      <c r="K3" s="275" t="s">
        <v>165</v>
      </c>
      <c r="L3" s="177"/>
      <c r="M3" s="174"/>
      <c r="N3" s="14"/>
      <c r="O3" s="178">
        <v>44050</v>
      </c>
      <c r="P3" s="69"/>
      <c r="Q3" s="178">
        <v>44095</v>
      </c>
      <c r="R3" s="178" t="s">
        <v>307</v>
      </c>
      <c r="S3" s="70"/>
      <c r="T3" s="178" t="s">
        <v>76</v>
      </c>
    </row>
    <row r="4" spans="1:20" s="72" customFormat="1" ht="20.100000000000001" customHeight="1">
      <c r="A4" s="183" t="s">
        <v>261</v>
      </c>
      <c r="B4" s="182" t="s">
        <v>274</v>
      </c>
      <c r="C4" s="14"/>
      <c r="D4" s="1"/>
      <c r="E4" s="15"/>
      <c r="F4" s="14"/>
      <c r="G4" s="39" t="s">
        <v>53</v>
      </c>
      <c r="H4" s="63" t="s">
        <v>65</v>
      </c>
      <c r="I4" s="64"/>
      <c r="J4" s="66"/>
      <c r="K4" s="276" t="s">
        <v>119</v>
      </c>
      <c r="L4" s="177">
        <v>75000</v>
      </c>
      <c r="M4" s="174"/>
      <c r="N4" s="14"/>
      <c r="O4" s="178">
        <v>44053</v>
      </c>
      <c r="P4" s="69"/>
      <c r="Q4" s="178">
        <v>44096</v>
      </c>
      <c r="R4" s="178" t="s">
        <v>308</v>
      </c>
      <c r="S4" s="70"/>
      <c r="T4" s="178" t="s">
        <v>178</v>
      </c>
    </row>
    <row r="5" spans="1:20" ht="20.100000000000001" customHeight="1">
      <c r="A5" s="181" t="s">
        <v>163</v>
      </c>
      <c r="B5" s="184">
        <v>55</v>
      </c>
      <c r="C5" s="14"/>
      <c r="D5" s="1"/>
      <c r="E5" s="15"/>
      <c r="F5" s="14"/>
      <c r="G5" s="39" t="s">
        <v>54</v>
      </c>
      <c r="H5" s="63" t="s">
        <v>66</v>
      </c>
      <c r="I5" s="64"/>
      <c r="K5" s="277" t="s">
        <v>120</v>
      </c>
      <c r="L5" s="177">
        <v>60000</v>
      </c>
      <c r="M5" s="174"/>
      <c r="N5" s="14"/>
      <c r="O5" s="178">
        <v>44054</v>
      </c>
      <c r="Q5" s="178"/>
      <c r="R5" s="178"/>
      <c r="S5" s="70"/>
      <c r="T5" s="178" t="s">
        <v>77</v>
      </c>
    </row>
    <row r="6" spans="1:20" s="72" customFormat="1" ht="20.100000000000001" customHeight="1">
      <c r="A6" s="181" t="s">
        <v>74</v>
      </c>
      <c r="B6" s="185">
        <v>44066</v>
      </c>
      <c r="C6" s="14"/>
      <c r="D6" s="1"/>
      <c r="E6" s="15"/>
      <c r="F6" s="14"/>
      <c r="G6" s="39" t="s">
        <v>55</v>
      </c>
      <c r="H6" s="63" t="s">
        <v>71</v>
      </c>
      <c r="I6" s="64"/>
      <c r="J6" s="66"/>
      <c r="K6" s="277" t="s">
        <v>121</v>
      </c>
      <c r="L6" s="177">
        <v>50000</v>
      </c>
      <c r="M6" s="174"/>
      <c r="N6" s="14"/>
      <c r="O6" s="178">
        <v>44195</v>
      </c>
      <c r="P6" s="69"/>
      <c r="Q6" s="178"/>
      <c r="R6" s="178"/>
      <c r="S6" s="70"/>
      <c r="T6" s="178" t="s">
        <v>78</v>
      </c>
    </row>
    <row r="7" spans="1:20" s="72" customFormat="1" ht="20.100000000000001" customHeight="1">
      <c r="A7" s="181" t="s">
        <v>93</v>
      </c>
      <c r="B7" s="185">
        <v>44128</v>
      </c>
      <c r="C7" s="14"/>
      <c r="D7" s="1"/>
      <c r="E7" s="15"/>
      <c r="F7" s="14"/>
      <c r="G7" s="39" t="s">
        <v>57</v>
      </c>
      <c r="H7" s="63" t="s">
        <v>68</v>
      </c>
      <c r="I7" s="64" t="s">
        <v>58</v>
      </c>
      <c r="J7" s="66"/>
      <c r="K7" s="277" t="s">
        <v>122</v>
      </c>
      <c r="L7" s="177">
        <v>50000</v>
      </c>
      <c r="M7" s="174"/>
      <c r="N7" s="14"/>
      <c r="O7" s="178">
        <v>44196</v>
      </c>
      <c r="P7" s="69"/>
      <c r="Q7" s="178"/>
      <c r="R7" s="178"/>
      <c r="S7" s="70"/>
      <c r="T7" s="178" t="s">
        <v>51</v>
      </c>
    </row>
    <row r="8" spans="1:20" s="72" customFormat="1" ht="20.100000000000001" customHeight="1">
      <c r="A8" s="181" t="s">
        <v>94</v>
      </c>
      <c r="B8" s="185">
        <v>44173</v>
      </c>
      <c r="C8" s="14"/>
      <c r="D8" s="1"/>
      <c r="E8" s="15"/>
      <c r="F8" s="14"/>
      <c r="G8" s="39" t="s">
        <v>52</v>
      </c>
      <c r="H8" s="63" t="s">
        <v>69</v>
      </c>
      <c r="I8" s="64" t="s">
        <v>8</v>
      </c>
      <c r="J8" s="66"/>
      <c r="K8" s="278" t="s">
        <v>123</v>
      </c>
      <c r="L8" s="177">
        <v>30</v>
      </c>
      <c r="M8" s="174"/>
      <c r="N8" s="14"/>
      <c r="O8" s="178">
        <v>44198</v>
      </c>
      <c r="P8" s="69"/>
      <c r="Q8" s="178"/>
      <c r="R8" s="178"/>
      <c r="S8" s="70"/>
      <c r="T8" s="178" t="s">
        <v>79</v>
      </c>
    </row>
    <row r="9" spans="1:20" s="72" customFormat="1" ht="20.100000000000001" customHeight="1">
      <c r="A9" s="181" t="s">
        <v>262</v>
      </c>
      <c r="B9" s="192" t="s">
        <v>263</v>
      </c>
      <c r="C9" s="14"/>
      <c r="D9" s="1"/>
      <c r="E9" s="15"/>
      <c r="F9" s="14"/>
      <c r="G9" s="39" t="s">
        <v>60</v>
      </c>
      <c r="H9" s="63" t="s">
        <v>70</v>
      </c>
      <c r="I9" s="64" t="s">
        <v>59</v>
      </c>
      <c r="J9" s="66"/>
      <c r="K9" s="279" t="s">
        <v>124</v>
      </c>
      <c r="L9" s="177"/>
      <c r="M9" s="174"/>
      <c r="N9" s="14"/>
      <c r="O9" s="178">
        <v>44199</v>
      </c>
      <c r="P9" s="69"/>
      <c r="Q9" s="178"/>
      <c r="R9" s="178"/>
      <c r="S9" s="70"/>
      <c r="T9" s="178"/>
    </row>
    <row r="10" spans="1:20" s="72" customFormat="1" ht="20.100000000000001" customHeight="1">
      <c r="A10" s="114" t="s">
        <v>205</v>
      </c>
      <c r="B10" s="115" t="s">
        <v>194</v>
      </c>
      <c r="C10" s="14"/>
      <c r="D10" s="1"/>
      <c r="E10" s="15"/>
      <c r="F10" s="14"/>
      <c r="G10" s="39" t="s">
        <v>61</v>
      </c>
      <c r="H10" s="63" t="s">
        <v>67</v>
      </c>
      <c r="I10" s="64"/>
      <c r="J10" s="66"/>
      <c r="K10" s="279" t="s">
        <v>125</v>
      </c>
      <c r="L10" s="177"/>
      <c r="M10" s="174"/>
      <c r="N10" s="14"/>
      <c r="O10" s="178"/>
      <c r="P10" s="69"/>
      <c r="Q10" s="178"/>
      <c r="R10" s="178"/>
      <c r="S10" s="70"/>
      <c r="T10" s="178"/>
    </row>
    <row r="11" spans="1:20" s="72" customFormat="1" ht="20.100000000000001" customHeight="1">
      <c r="A11" s="114" t="s">
        <v>201</v>
      </c>
      <c r="B11" s="115" t="s">
        <v>193</v>
      </c>
      <c r="C11" s="14"/>
      <c r="D11" s="1"/>
      <c r="E11" s="15"/>
      <c r="F11" s="14"/>
      <c r="G11" s="39" t="s">
        <v>62</v>
      </c>
      <c r="H11" s="63" t="s">
        <v>72</v>
      </c>
      <c r="I11" s="64"/>
      <c r="J11" s="66"/>
      <c r="K11" s="279" t="s">
        <v>126</v>
      </c>
      <c r="L11" s="177"/>
      <c r="M11" s="174"/>
      <c r="N11" s="14"/>
      <c r="O11" s="178"/>
      <c r="P11" s="69"/>
      <c r="Q11" s="178"/>
      <c r="R11" s="178"/>
      <c r="S11" s="70"/>
      <c r="T11" s="178"/>
    </row>
    <row r="12" spans="1:20" s="72" customFormat="1" ht="20.100000000000001" customHeight="1">
      <c r="A12" s="114" t="s">
        <v>202</v>
      </c>
      <c r="B12" s="133" t="s">
        <v>203</v>
      </c>
      <c r="C12" s="14"/>
      <c r="D12" s="1"/>
      <c r="E12" s="15"/>
      <c r="F12" s="14"/>
      <c r="G12" s="39" t="s">
        <v>63</v>
      </c>
      <c r="H12" s="63" t="s">
        <v>73</v>
      </c>
      <c r="I12" s="64"/>
      <c r="J12" s="66"/>
      <c r="K12" s="280" t="s">
        <v>127</v>
      </c>
      <c r="L12" s="177"/>
      <c r="M12" s="174"/>
      <c r="N12" s="14"/>
      <c r="O12" s="178"/>
      <c r="P12" s="69"/>
      <c r="Q12" s="178"/>
      <c r="R12" s="178"/>
      <c r="S12" s="70"/>
      <c r="T12" s="178"/>
    </row>
    <row r="13" spans="1:20" s="72" customFormat="1" ht="20.100000000000001" customHeight="1">
      <c r="A13" s="114" t="s">
        <v>151</v>
      </c>
      <c r="B13" s="115" t="s">
        <v>310</v>
      </c>
      <c r="C13" s="14"/>
      <c r="D13" s="1"/>
      <c r="E13" s="15"/>
      <c r="F13" s="14"/>
      <c r="G13" s="39"/>
      <c r="H13" s="63"/>
      <c r="I13" s="64"/>
      <c r="J13" s="66"/>
      <c r="K13" s="281" t="s">
        <v>128</v>
      </c>
      <c r="L13" s="177"/>
      <c r="M13" s="174"/>
      <c r="N13" s="14"/>
      <c r="O13" s="178"/>
      <c r="P13" s="69"/>
      <c r="Q13" s="178"/>
      <c r="R13" s="178"/>
      <c r="S13" s="70"/>
      <c r="T13" s="178"/>
    </row>
    <row r="14" spans="1:20" s="72" customFormat="1" ht="20.100000000000001" customHeight="1">
      <c r="A14" s="186" t="s">
        <v>190</v>
      </c>
      <c r="B14" s="187" t="s">
        <v>189</v>
      </c>
      <c r="C14" s="14"/>
      <c r="D14" s="1"/>
      <c r="E14" s="15"/>
      <c r="F14" s="14"/>
      <c r="G14" s="39"/>
      <c r="H14" s="63"/>
      <c r="I14" s="64"/>
      <c r="J14" s="66"/>
      <c r="K14" s="281" t="s">
        <v>129</v>
      </c>
      <c r="L14" s="177"/>
      <c r="M14" s="174"/>
      <c r="N14" s="14"/>
      <c r="O14" s="178"/>
      <c r="P14" s="69"/>
      <c r="Q14" s="178"/>
      <c r="R14" s="178"/>
      <c r="S14" s="70"/>
      <c r="T14" s="178"/>
    </row>
    <row r="15" spans="1:20" s="72" customFormat="1" ht="20.100000000000001" customHeight="1">
      <c r="A15" s="186" t="s">
        <v>192</v>
      </c>
      <c r="B15" s="187" t="s">
        <v>191</v>
      </c>
      <c r="C15" s="14"/>
      <c r="D15" s="1"/>
      <c r="E15" s="15"/>
      <c r="F15" s="14"/>
      <c r="G15" s="39"/>
      <c r="H15" s="63"/>
      <c r="I15" s="64"/>
      <c r="J15" s="66"/>
      <c r="K15" s="281" t="s">
        <v>130</v>
      </c>
      <c r="L15" s="177"/>
      <c r="M15" s="174"/>
      <c r="N15" s="14"/>
      <c r="O15" s="178"/>
      <c r="P15" s="69"/>
      <c r="Q15" s="178"/>
      <c r="R15" s="178"/>
      <c r="S15" s="70"/>
      <c r="T15" s="178"/>
    </row>
    <row r="16" spans="1:20" s="72" customFormat="1" ht="20.100000000000001" customHeight="1">
      <c r="A16" s="186" t="s">
        <v>161</v>
      </c>
      <c r="B16" s="187" t="s">
        <v>147</v>
      </c>
      <c r="C16" s="14"/>
      <c r="D16" s="1"/>
      <c r="E16" s="15"/>
      <c r="F16" s="14"/>
      <c r="G16" s="39"/>
      <c r="H16" s="63"/>
      <c r="I16" s="64"/>
      <c r="J16" s="66"/>
      <c r="K16" s="282" t="s">
        <v>131</v>
      </c>
      <c r="L16" s="177"/>
      <c r="M16" s="174"/>
      <c r="N16" s="14"/>
      <c r="O16" s="178"/>
      <c r="P16" s="69"/>
      <c r="Q16" s="178"/>
      <c r="R16" s="178"/>
      <c r="S16" s="70"/>
      <c r="T16" s="178"/>
    </row>
    <row r="17" spans="1:20" s="72" customFormat="1" ht="20.100000000000001" customHeight="1">
      <c r="A17" s="186" t="s">
        <v>177</v>
      </c>
      <c r="B17" s="187" t="s">
        <v>176</v>
      </c>
      <c r="C17" s="14"/>
      <c r="D17" s="1"/>
      <c r="E17" s="15"/>
      <c r="F17" s="14"/>
      <c r="G17" s="39"/>
      <c r="H17" s="63"/>
      <c r="I17" s="64"/>
      <c r="J17" s="66"/>
      <c r="K17" s="283" t="s">
        <v>132</v>
      </c>
      <c r="L17" s="177"/>
      <c r="M17" s="174"/>
      <c r="N17" s="14"/>
      <c r="O17" s="178"/>
      <c r="P17" s="69"/>
      <c r="Q17" s="178"/>
      <c r="R17" s="178"/>
      <c r="S17" s="70"/>
      <c r="T17" s="178"/>
    </row>
    <row r="18" spans="1:20" s="72" customFormat="1" ht="20.100000000000001" customHeight="1">
      <c r="A18" s="186" t="s">
        <v>156</v>
      </c>
      <c r="B18" s="187" t="s">
        <v>148</v>
      </c>
      <c r="C18" s="14"/>
      <c r="D18" s="1"/>
      <c r="E18" s="15"/>
      <c r="F18" s="14"/>
      <c r="G18" s="39"/>
      <c r="H18" s="63"/>
      <c r="I18" s="64"/>
      <c r="J18" s="66"/>
      <c r="K18" s="283" t="s">
        <v>133</v>
      </c>
      <c r="L18" s="177"/>
      <c r="M18" s="174"/>
      <c r="N18" s="14"/>
      <c r="O18" s="178"/>
      <c r="P18" s="69"/>
      <c r="Q18" s="178"/>
      <c r="R18" s="178"/>
      <c r="S18" s="70"/>
      <c r="T18" s="178"/>
    </row>
    <row r="19" spans="1:20" s="72" customFormat="1" ht="20.100000000000001" customHeight="1">
      <c r="A19" s="186" t="s">
        <v>157</v>
      </c>
      <c r="B19" s="187" t="s">
        <v>149</v>
      </c>
      <c r="C19" s="14"/>
      <c r="D19" s="1"/>
      <c r="E19" s="15"/>
      <c r="F19" s="14"/>
      <c r="G19" s="39"/>
      <c r="H19" s="63"/>
      <c r="I19" s="64"/>
      <c r="J19" s="66"/>
      <c r="K19" s="283" t="s">
        <v>134</v>
      </c>
      <c r="L19" s="177"/>
      <c r="M19" s="174"/>
      <c r="N19" s="14"/>
      <c r="O19" s="178"/>
      <c r="P19" s="69"/>
      <c r="Q19" s="178"/>
      <c r="R19" s="178"/>
      <c r="S19" s="70"/>
      <c r="T19" s="178"/>
    </row>
    <row r="20" spans="1:20" s="72" customFormat="1" ht="20.100000000000001" customHeight="1">
      <c r="A20" s="186" t="s">
        <v>158</v>
      </c>
      <c r="B20" s="187" t="s">
        <v>150</v>
      </c>
      <c r="C20" s="14"/>
      <c r="D20" s="1"/>
      <c r="E20" s="15"/>
      <c r="F20" s="14"/>
      <c r="G20" s="39"/>
      <c r="H20" s="63"/>
      <c r="I20" s="64"/>
      <c r="J20" s="66"/>
      <c r="K20" s="283" t="s">
        <v>135</v>
      </c>
      <c r="L20" s="177"/>
      <c r="M20" s="174"/>
      <c r="N20" s="14"/>
      <c r="O20" s="178"/>
      <c r="P20" s="69"/>
      <c r="Q20" s="178"/>
      <c r="R20" s="178"/>
      <c r="S20" s="70"/>
      <c r="T20" s="178"/>
    </row>
    <row r="21" spans="1:20" s="72" customFormat="1" ht="20.100000000000001" customHeight="1">
      <c r="A21" s="186" t="s">
        <v>159</v>
      </c>
      <c r="B21" s="187" t="s">
        <v>160</v>
      </c>
      <c r="C21" s="14"/>
      <c r="D21" s="1"/>
      <c r="E21" s="15"/>
      <c r="F21" s="14"/>
      <c r="G21" s="39"/>
      <c r="H21" s="63"/>
      <c r="I21" s="64"/>
      <c r="J21" s="66"/>
      <c r="K21" s="283" t="s">
        <v>136</v>
      </c>
      <c r="L21" s="177"/>
      <c r="M21" s="174"/>
      <c r="N21" s="14"/>
      <c r="O21" s="178"/>
      <c r="P21" s="69"/>
      <c r="Q21" s="178"/>
      <c r="R21" s="178"/>
      <c r="S21" s="70"/>
      <c r="T21" s="178"/>
    </row>
    <row r="22" spans="1:20" s="72" customFormat="1" ht="20.100000000000001" customHeight="1">
      <c r="A22" s="1" t="s">
        <v>260</v>
      </c>
      <c r="B22" s="29" t="b">
        <v>0</v>
      </c>
      <c r="C22" s="14"/>
      <c r="D22" s="1"/>
      <c r="E22" s="15"/>
      <c r="F22" s="14"/>
      <c r="G22" s="39"/>
      <c r="H22" s="63"/>
      <c r="I22" s="64"/>
      <c r="J22" s="66"/>
      <c r="K22" s="283" t="s">
        <v>137</v>
      </c>
      <c r="L22" s="177"/>
      <c r="M22" s="174"/>
      <c r="N22" s="14"/>
      <c r="O22" s="178"/>
      <c r="P22" s="69"/>
      <c r="Q22" s="178"/>
      <c r="R22" s="178"/>
      <c r="S22" s="70"/>
      <c r="T22" s="178"/>
    </row>
    <row r="23" spans="1:20" s="72" customFormat="1" ht="20.100000000000001" customHeight="1">
      <c r="A23" s="1" t="s">
        <v>38</v>
      </c>
      <c r="B23" s="12" t="b">
        <v>0</v>
      </c>
      <c r="C23" s="14"/>
      <c r="D23" s="1"/>
      <c r="E23" s="15"/>
      <c r="F23" s="14"/>
      <c r="G23" s="39"/>
      <c r="H23" s="63"/>
      <c r="I23" s="64"/>
      <c r="J23" s="66"/>
      <c r="K23" s="283" t="s">
        <v>138</v>
      </c>
      <c r="L23" s="177"/>
      <c r="M23" s="174"/>
      <c r="N23" s="14"/>
      <c r="O23" s="178"/>
      <c r="P23" s="69"/>
      <c r="Q23" s="178"/>
      <c r="R23" s="178"/>
      <c r="S23" s="70"/>
      <c r="T23" s="178"/>
    </row>
    <row r="24" spans="1:20" s="72" customFormat="1" ht="20.100000000000001" customHeight="1">
      <c r="A24" s="1" t="s">
        <v>33</v>
      </c>
      <c r="B24" s="12" t="b">
        <v>0</v>
      </c>
      <c r="C24" s="14"/>
      <c r="D24" s="1"/>
      <c r="E24" s="15"/>
      <c r="F24" s="14"/>
      <c r="G24" s="39"/>
      <c r="H24" s="63"/>
      <c r="I24" s="64"/>
      <c r="J24" s="66"/>
      <c r="K24" s="284" t="s">
        <v>139</v>
      </c>
      <c r="L24" s="177"/>
      <c r="M24" s="174"/>
      <c r="N24" s="14"/>
      <c r="O24" s="178"/>
      <c r="P24" s="69"/>
      <c r="Q24" s="178"/>
      <c r="R24" s="178"/>
      <c r="S24" s="70"/>
      <c r="T24" s="178"/>
    </row>
    <row r="25" spans="1:20" s="72" customFormat="1" ht="20.100000000000001" customHeight="1">
      <c r="A25" s="1" t="s">
        <v>39</v>
      </c>
      <c r="B25" s="12">
        <v>10222585</v>
      </c>
      <c r="C25" s="14"/>
      <c r="D25" s="1"/>
      <c r="E25" s="15"/>
      <c r="F25" s="14"/>
      <c r="G25" s="39"/>
      <c r="H25" s="63"/>
      <c r="I25" s="64"/>
      <c r="J25" s="66"/>
      <c r="K25" s="285" t="s">
        <v>140</v>
      </c>
      <c r="L25" s="177"/>
      <c r="M25" s="174"/>
      <c r="N25" s="14"/>
      <c r="O25" s="178"/>
      <c r="P25" s="69"/>
      <c r="Q25" s="178"/>
      <c r="R25" s="178"/>
      <c r="S25" s="70"/>
      <c r="T25" s="178"/>
    </row>
    <row r="26" spans="1:20" s="72" customFormat="1" ht="20.100000000000001" customHeight="1">
      <c r="A26" s="1" t="s">
        <v>40</v>
      </c>
      <c r="B26" s="12">
        <v>16774635</v>
      </c>
      <c r="C26" s="14"/>
      <c r="D26" s="1"/>
      <c r="E26" s="15"/>
      <c r="F26" s="14"/>
      <c r="G26" s="39"/>
      <c r="H26" s="63"/>
      <c r="I26" s="64"/>
      <c r="J26" s="66"/>
      <c r="K26" s="285" t="s">
        <v>141</v>
      </c>
      <c r="L26" s="177"/>
      <c r="M26" s="174"/>
      <c r="N26" s="14"/>
      <c r="O26" s="178"/>
      <c r="P26" s="69"/>
      <c r="Q26" s="178"/>
      <c r="R26" s="178"/>
      <c r="S26" s="70"/>
      <c r="T26" s="178"/>
    </row>
    <row r="27" spans="1:20" s="72" customFormat="1" ht="20.100000000000001" customHeight="1">
      <c r="A27" s="1" t="s">
        <v>41</v>
      </c>
      <c r="B27" s="12">
        <v>16314622</v>
      </c>
      <c r="C27" s="14"/>
      <c r="D27" s="1"/>
      <c r="E27" s="15"/>
      <c r="F27" s="14"/>
      <c r="G27" s="39"/>
      <c r="H27" s="63"/>
      <c r="I27" s="64"/>
      <c r="J27" s="66"/>
      <c r="K27" s="285" t="s">
        <v>142</v>
      </c>
      <c r="L27" s="177"/>
      <c r="M27" s="174"/>
      <c r="N27" s="14"/>
      <c r="O27" s="178"/>
      <c r="P27" s="69"/>
      <c r="Q27" s="178"/>
      <c r="R27" s="178"/>
      <c r="S27" s="70"/>
      <c r="T27" s="178"/>
    </row>
    <row r="28" spans="1:20" s="72" customFormat="1" ht="20.100000000000001" customHeight="1">
      <c r="A28" s="1" t="s">
        <v>42</v>
      </c>
      <c r="B28" s="12">
        <v>14540253</v>
      </c>
      <c r="C28" s="14"/>
      <c r="D28" s="1"/>
      <c r="E28" s="15"/>
      <c r="F28" s="14"/>
      <c r="G28" s="39"/>
      <c r="H28" s="63"/>
      <c r="I28" s="64"/>
      <c r="J28" s="66"/>
      <c r="K28" s="286" t="s">
        <v>30</v>
      </c>
      <c r="L28" s="177"/>
      <c r="M28" s="174"/>
      <c r="N28" s="14"/>
      <c r="O28" s="178"/>
      <c r="P28" s="69"/>
      <c r="Q28" s="178"/>
      <c r="R28" s="178"/>
      <c r="S28" s="70"/>
      <c r="T28" s="178"/>
    </row>
    <row r="29" spans="1:20" s="72" customFormat="1" ht="20.100000000000001" customHeight="1">
      <c r="A29" s="1" t="s">
        <v>34</v>
      </c>
      <c r="B29" s="12">
        <v>6680933</v>
      </c>
      <c r="C29" s="14"/>
      <c r="D29" s="1"/>
      <c r="E29" s="15"/>
      <c r="F29" s="14"/>
      <c r="G29" s="39"/>
      <c r="H29" s="63"/>
      <c r="I29" s="64"/>
      <c r="J29" s="66"/>
      <c r="K29" s="287" t="s">
        <v>101</v>
      </c>
      <c r="L29" s="177"/>
      <c r="M29" s="174"/>
      <c r="N29" s="14"/>
      <c r="O29" s="178"/>
      <c r="P29" s="69"/>
      <c r="Q29" s="178"/>
      <c r="R29" s="178"/>
      <c r="S29" s="70"/>
      <c r="T29" s="178"/>
    </row>
    <row r="30" spans="1:20" s="72" customFormat="1" ht="20.100000000000001" customHeight="1">
      <c r="A30" s="1" t="s">
        <v>35</v>
      </c>
      <c r="B30" s="12">
        <v>10053375</v>
      </c>
      <c r="C30" s="14"/>
      <c r="D30" s="1"/>
      <c r="E30" s="15"/>
      <c r="F30" s="14"/>
      <c r="G30" s="39"/>
      <c r="H30" s="63"/>
      <c r="I30" s="64"/>
      <c r="J30" s="66"/>
      <c r="K30" s="288" t="s">
        <v>111</v>
      </c>
      <c r="L30" s="177"/>
      <c r="M30" s="174"/>
      <c r="N30" s="14"/>
      <c r="O30" s="178"/>
      <c r="P30" s="69"/>
      <c r="Q30" s="178"/>
      <c r="R30" s="178"/>
      <c r="S30" s="70"/>
      <c r="T30" s="178"/>
    </row>
    <row r="31" spans="1:20" s="72" customFormat="1" ht="20.100000000000001" customHeight="1">
      <c r="A31" s="114" t="s">
        <v>36</v>
      </c>
      <c r="B31" s="115">
        <v>255</v>
      </c>
      <c r="C31" s="14"/>
      <c r="D31" s="1"/>
      <c r="E31" s="15"/>
      <c r="F31" s="14"/>
      <c r="G31" s="39"/>
      <c r="H31" s="63"/>
      <c r="I31" s="64"/>
      <c r="J31" s="66"/>
      <c r="K31" s="289" t="s">
        <v>112</v>
      </c>
      <c r="L31" s="177"/>
      <c r="M31" s="174"/>
      <c r="N31" s="14"/>
      <c r="O31" s="178"/>
      <c r="P31" s="69"/>
      <c r="Q31" s="178"/>
      <c r="R31" s="178"/>
      <c r="S31" s="70"/>
      <c r="T31" s="178"/>
    </row>
    <row r="32" spans="1:20" s="72" customFormat="1" ht="20.100000000000001" customHeight="1">
      <c r="A32" s="114" t="s">
        <v>37</v>
      </c>
      <c r="B32" s="115">
        <v>16777164</v>
      </c>
      <c r="C32" s="14"/>
      <c r="D32" s="1"/>
      <c r="E32" s="15"/>
      <c r="F32" s="14"/>
      <c r="G32" s="39"/>
      <c r="H32" s="63"/>
      <c r="I32" s="64"/>
      <c r="J32" s="66"/>
      <c r="K32" s="289" t="s">
        <v>113</v>
      </c>
      <c r="L32" s="177"/>
      <c r="M32" s="174"/>
      <c r="N32" s="14"/>
      <c r="O32" s="178"/>
      <c r="P32" s="69"/>
      <c r="Q32" s="178"/>
      <c r="R32" s="178"/>
      <c r="S32" s="70"/>
      <c r="T32" s="178"/>
    </row>
    <row r="33" spans="1:20" s="72" customFormat="1" ht="20.100000000000001" customHeight="1">
      <c r="A33" s="114" t="s">
        <v>43</v>
      </c>
      <c r="B33" s="115">
        <v>16777215</v>
      </c>
      <c r="C33" s="14"/>
      <c r="D33" s="1"/>
      <c r="E33" s="15"/>
      <c r="F33" s="14"/>
      <c r="G33" s="39"/>
      <c r="H33" s="63"/>
      <c r="I33" s="64"/>
      <c r="J33" s="66"/>
      <c r="K33" s="289" t="s">
        <v>164</v>
      </c>
      <c r="L33" s="177"/>
      <c r="M33" s="174"/>
      <c r="N33" s="14"/>
      <c r="O33" s="178"/>
      <c r="P33" s="69"/>
      <c r="Q33" s="178"/>
      <c r="R33" s="178"/>
      <c r="S33" s="70"/>
      <c r="T33" s="178"/>
    </row>
    <row r="34" spans="1:20" s="72" customFormat="1" ht="20.100000000000001" customHeight="1">
      <c r="A34" s="114" t="s">
        <v>44</v>
      </c>
      <c r="B34" s="115">
        <v>16777215</v>
      </c>
      <c r="C34" s="14"/>
      <c r="D34" s="1"/>
      <c r="E34" s="15"/>
      <c r="F34" s="14"/>
      <c r="G34" s="39"/>
      <c r="H34" s="63"/>
      <c r="I34" s="64"/>
      <c r="J34" s="66"/>
      <c r="K34" s="289" t="s">
        <v>114</v>
      </c>
      <c r="L34" s="177"/>
      <c r="M34" s="174"/>
      <c r="N34" s="14"/>
      <c r="O34" s="178"/>
      <c r="P34" s="69"/>
      <c r="Q34" s="178"/>
      <c r="R34" s="178"/>
      <c r="S34" s="70"/>
      <c r="T34" s="178"/>
    </row>
    <row r="35" spans="1:20" s="72" customFormat="1" ht="20.100000000000001" customHeight="1">
      <c r="A35" s="1" t="s">
        <v>102</v>
      </c>
      <c r="B35" s="12" t="b">
        <v>0</v>
      </c>
      <c r="C35" s="14"/>
      <c r="D35" s="1"/>
      <c r="E35" s="15"/>
      <c r="F35" s="14"/>
      <c r="G35" s="39"/>
      <c r="H35" s="63"/>
      <c r="I35" s="64"/>
      <c r="J35" s="66"/>
      <c r="K35" s="289" t="s">
        <v>115</v>
      </c>
      <c r="L35" s="177"/>
      <c r="M35" s="174"/>
      <c r="N35" s="14"/>
      <c r="O35" s="178"/>
      <c r="P35" s="69"/>
      <c r="Q35" s="178"/>
      <c r="R35" s="178"/>
      <c r="S35" s="70"/>
      <c r="T35" s="178"/>
    </row>
    <row r="36" spans="1:20" s="72" customFormat="1" ht="20.100000000000001" customHeight="1">
      <c r="A36" s="1" t="s">
        <v>103</v>
      </c>
      <c r="B36" s="12" t="b">
        <v>0</v>
      </c>
      <c r="C36" s="14"/>
      <c r="D36" s="1"/>
      <c r="E36" s="15"/>
      <c r="F36" s="14"/>
      <c r="G36" s="39"/>
      <c r="H36" s="63"/>
      <c r="I36" s="64"/>
      <c r="J36" s="66"/>
      <c r="K36" s="289" t="s">
        <v>116</v>
      </c>
      <c r="L36" s="177"/>
      <c r="M36" s="174"/>
      <c r="N36" s="14"/>
      <c r="O36" s="178"/>
      <c r="P36" s="69"/>
      <c r="Q36" s="178"/>
      <c r="R36" s="178"/>
      <c r="S36" s="70"/>
      <c r="T36" s="178"/>
    </row>
    <row r="37" spans="1:20" ht="20.100000000000001" customHeight="1">
      <c r="A37" s="1" t="s">
        <v>104</v>
      </c>
      <c r="B37" s="12" t="b">
        <v>1</v>
      </c>
      <c r="D37" s="1"/>
      <c r="E37" s="15"/>
      <c r="F37" s="14"/>
      <c r="G37" s="39"/>
      <c r="H37" s="63"/>
      <c r="I37" s="64"/>
      <c r="K37" s="289" t="s">
        <v>117</v>
      </c>
      <c r="L37" s="177"/>
      <c r="M37" s="174"/>
      <c r="O37" s="178"/>
      <c r="Q37" s="178"/>
      <c r="R37" s="178"/>
      <c r="T37" s="178"/>
    </row>
    <row r="38" spans="1:20" ht="20.100000000000001" customHeight="1">
      <c r="A38" s="1" t="s">
        <v>110</v>
      </c>
      <c r="B38" s="12" t="b">
        <v>1</v>
      </c>
      <c r="D38" s="1"/>
      <c r="E38" s="15"/>
      <c r="F38" s="14"/>
      <c r="G38" s="39"/>
      <c r="H38" s="63"/>
      <c r="I38" s="64"/>
      <c r="K38" s="290" t="s">
        <v>118</v>
      </c>
      <c r="L38" s="177"/>
      <c r="M38" s="174"/>
      <c r="O38" s="178"/>
      <c r="Q38" s="178"/>
      <c r="R38" s="178"/>
      <c r="T38" s="178"/>
    </row>
    <row r="39" spans="1:20" ht="20.100000000000001" customHeight="1">
      <c r="A39" s="1" t="s">
        <v>105</v>
      </c>
      <c r="B39" s="12" t="b">
        <v>1</v>
      </c>
      <c r="K39" s="4"/>
    </row>
    <row r="40" spans="1:20" ht="20.100000000000001" customHeight="1">
      <c r="A40" s="1" t="s">
        <v>106</v>
      </c>
      <c r="B40" s="12" t="b">
        <v>1</v>
      </c>
      <c r="K40" s="4"/>
    </row>
    <row r="41" spans="1:20" ht="20.100000000000001" customHeight="1">
      <c r="A41" s="114" t="s">
        <v>167</v>
      </c>
      <c r="B41" s="12" t="b">
        <v>1</v>
      </c>
      <c r="K41" s="4"/>
    </row>
    <row r="42" spans="1:20" ht="20.100000000000001" customHeight="1">
      <c r="A42" s="1" t="s">
        <v>107</v>
      </c>
      <c r="B42" s="12" t="b">
        <v>1</v>
      </c>
      <c r="K42" s="4"/>
    </row>
    <row r="43" spans="1:20" ht="20.100000000000001" customHeight="1">
      <c r="A43" s="1" t="s">
        <v>108</v>
      </c>
      <c r="B43" s="12" t="b">
        <v>1</v>
      </c>
      <c r="K43" s="4"/>
    </row>
    <row r="44" spans="1:20" ht="20.100000000000001" customHeight="1">
      <c r="A44" s="1" t="s">
        <v>109</v>
      </c>
      <c r="B44" s="12" t="b">
        <v>0</v>
      </c>
      <c r="K44" s="4"/>
    </row>
    <row r="45" spans="1:20" ht="20.100000000000001" customHeight="1">
      <c r="A45" s="114" t="s">
        <v>185</v>
      </c>
      <c r="B45" s="12" t="b">
        <v>1</v>
      </c>
      <c r="K45" s="4"/>
    </row>
    <row r="46" spans="1:20" ht="20.100000000000001" customHeight="1">
      <c r="A46" s="1" t="s">
        <v>162</v>
      </c>
      <c r="B46" s="12" t="b">
        <v>0</v>
      </c>
      <c r="K46" s="4"/>
    </row>
    <row r="47" spans="1:20" ht="20.100000000000001" customHeight="1">
      <c r="A47" s="1" t="s">
        <v>153</v>
      </c>
      <c r="B47" s="12" t="b">
        <v>0</v>
      </c>
      <c r="K47" s="4"/>
    </row>
    <row r="48" spans="1:20" ht="20.100000000000001" customHeight="1">
      <c r="A48" s="1"/>
      <c r="B48" s="12"/>
      <c r="K48" s="4"/>
    </row>
    <row r="49" spans="1:11" ht="20.100000000000001" customHeight="1">
      <c r="A49" s="132"/>
      <c r="B49" s="133"/>
      <c r="K49" s="4"/>
    </row>
    <row r="50" spans="1:11" ht="20.100000000000001" customHeight="1">
      <c r="A50" s="132"/>
      <c r="B50" s="133"/>
      <c r="K50" s="4"/>
    </row>
    <row r="51" spans="1:11" ht="20.100000000000001" customHeight="1">
      <c r="A51" s="132"/>
      <c r="B51" s="133"/>
      <c r="K51" s="4"/>
    </row>
    <row r="52" spans="1:11" ht="20.100000000000001" customHeight="1">
      <c r="A52" s="188" t="s">
        <v>183</v>
      </c>
      <c r="B52" s="189" t="s">
        <v>184</v>
      </c>
      <c r="K52" s="4"/>
    </row>
    <row r="53" spans="1:11" ht="20.100000000000001" customHeight="1">
      <c r="A53" s="188" t="s">
        <v>182</v>
      </c>
      <c r="B53" s="189" t="s">
        <v>58</v>
      </c>
      <c r="K53" s="4"/>
    </row>
    <row r="54" spans="1:11" ht="20.100000000000001" customHeight="1">
      <c r="A54" s="188" t="s">
        <v>181</v>
      </c>
      <c r="B54" s="189" t="s">
        <v>59</v>
      </c>
      <c r="K54" s="4"/>
    </row>
    <row r="55" spans="1:11" ht="20.100000000000001" customHeight="1">
      <c r="A55" s="190" t="s">
        <v>275</v>
      </c>
      <c r="B55" s="191" t="s">
        <v>276</v>
      </c>
      <c r="K55" s="4"/>
    </row>
    <row r="56" spans="1:11" ht="20.100000000000001" customHeight="1">
      <c r="A56" s="114" t="s">
        <v>277</v>
      </c>
      <c r="B56" s="115" t="s">
        <v>278</v>
      </c>
      <c r="K56" s="4"/>
    </row>
    <row r="57" spans="1:11" ht="20.100000000000001" customHeight="1">
      <c r="A57" s="114" t="s">
        <v>279</v>
      </c>
      <c r="B57" s="115" t="s">
        <v>280</v>
      </c>
      <c r="K57" s="4"/>
    </row>
    <row r="58" spans="1:11" ht="20.100000000000001" customHeight="1">
      <c r="A58" s="114" t="s">
        <v>96</v>
      </c>
      <c r="B58" s="115" t="s">
        <v>281</v>
      </c>
      <c r="K58" s="4"/>
    </row>
    <row r="59" spans="1:11" ht="20.100000000000001" customHeight="1">
      <c r="A59" s="114" t="s">
        <v>282</v>
      </c>
      <c r="B59" s="115" t="s">
        <v>283</v>
      </c>
      <c r="K59" s="4"/>
    </row>
    <row r="60" spans="1:11" ht="20.100000000000001" customHeight="1">
      <c r="A60" s="1" t="s">
        <v>284</v>
      </c>
      <c r="B60" s="12" t="s">
        <v>285</v>
      </c>
      <c r="K60" s="4"/>
    </row>
    <row r="61" spans="1:11" ht="20.100000000000001" customHeight="1">
      <c r="A61" s="1" t="s">
        <v>286</v>
      </c>
      <c r="B61" s="12" t="s">
        <v>179</v>
      </c>
      <c r="K61" s="4"/>
    </row>
    <row r="62" spans="1:11" ht="20.100000000000001" customHeight="1">
      <c r="A62" s="1" t="s">
        <v>287</v>
      </c>
      <c r="B62" s="12" t="s">
        <v>288</v>
      </c>
      <c r="K62" s="4"/>
    </row>
    <row r="63" spans="1:11" ht="20.100000000000001" customHeight="1">
      <c r="A63" s="1" t="s">
        <v>289</v>
      </c>
      <c r="B63" s="12" t="s">
        <v>290</v>
      </c>
      <c r="K63" s="4"/>
    </row>
    <row r="64" spans="1:11" ht="20.100000000000001" customHeight="1">
      <c r="A64" s="1" t="s">
        <v>291</v>
      </c>
      <c r="B64" s="12" t="s">
        <v>292</v>
      </c>
      <c r="K64" s="4"/>
    </row>
    <row r="65" spans="1:11" ht="20.100000000000001" customHeight="1">
      <c r="A65" s="1" t="s">
        <v>293</v>
      </c>
      <c r="B65" s="12" t="s">
        <v>294</v>
      </c>
      <c r="K65" s="4"/>
    </row>
    <row r="66" spans="1:11" ht="20.100000000000001" customHeight="1">
      <c r="A66" s="1" t="s">
        <v>295</v>
      </c>
      <c r="B66" s="12" t="s">
        <v>296</v>
      </c>
      <c r="K66" s="4"/>
    </row>
    <row r="67" spans="1:11" ht="20.100000000000001" customHeight="1">
      <c r="A67" s="1" t="s">
        <v>297</v>
      </c>
      <c r="B67" s="12" t="s">
        <v>298</v>
      </c>
      <c r="K67" s="4"/>
    </row>
    <row r="68" spans="1:11" ht="20.100000000000001" customHeight="1">
      <c r="A68" s="1" t="s">
        <v>299</v>
      </c>
      <c r="B68" s="12" t="s">
        <v>300</v>
      </c>
      <c r="K68" s="4"/>
    </row>
    <row r="69" spans="1:11" ht="20.100000000000001" customHeight="1">
      <c r="A69" s="1" t="s">
        <v>301</v>
      </c>
      <c r="B69" s="12" t="s">
        <v>302</v>
      </c>
      <c r="K69" s="4"/>
    </row>
    <row r="70" spans="1:11" ht="20.100000000000001" customHeight="1">
      <c r="A70" s="1" t="s">
        <v>303</v>
      </c>
      <c r="B70" s="12" t="s">
        <v>304</v>
      </c>
      <c r="K70" s="4"/>
    </row>
    <row r="71" spans="1:11" ht="20.100000000000001" customHeight="1">
      <c r="A71" s="1" t="s">
        <v>305</v>
      </c>
      <c r="B71" s="12" t="s">
        <v>306</v>
      </c>
      <c r="K71" s="4"/>
    </row>
    <row r="72" spans="1:11" ht="20.100000000000001" customHeight="1">
      <c r="A72" s="1"/>
      <c r="B72" s="12"/>
      <c r="K72" s="4"/>
    </row>
    <row r="73" spans="1:11" ht="20.100000000000001" customHeight="1">
      <c r="A73" s="1"/>
      <c r="B73" s="12"/>
      <c r="K73" s="4"/>
    </row>
    <row r="74" spans="1:11" ht="20.100000000000001" customHeight="1">
      <c r="A74" s="1"/>
      <c r="B74" s="12"/>
      <c r="K74" s="4"/>
    </row>
    <row r="75" spans="1:11" ht="20.100000000000001" customHeight="1">
      <c r="A75" s="1"/>
      <c r="B75" s="12"/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4 B35:B47">
      <formula1>"TRUE,FALSE"</formula1>
    </dataValidation>
    <dataValidation imeMode="off" allowBlank="1" showInputMessage="1" showErrorMessage="1" sqref="I3:I12"/>
    <dataValidation type="list" allowBlank="1" showInputMessage="1" showErrorMessage="1" sqref="B4">
      <formula1>"default,CD部"</formula1>
    </dataValidation>
    <dataValidation type="list" allowBlank="1" showInputMessage="1" showErrorMessage="1" sqref="B9">
      <formula1>"Normal,TeamsPlanner"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CE25"/>
  <sheetViews>
    <sheetView showGridLines="0" tabSelected="1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H14" sqref="H14"/>
    </sheetView>
  </sheetViews>
  <sheetFormatPr defaultColWidth="3.125" defaultRowHeight="20.100000000000001" customHeight="1"/>
  <cols>
    <col min="1" max="1" width="4.625" style="19" customWidth="1"/>
    <col min="2" max="3" width="3.625" style="19" customWidth="1"/>
    <col min="4" max="4" width="3.625" style="19" hidden="1" customWidth="1"/>
    <col min="5" max="5" width="40.625" style="19" customWidth="1"/>
    <col min="6" max="7" width="6.625" style="24" customWidth="1"/>
    <col min="8" max="8" width="10.625" style="20" customWidth="1"/>
    <col min="9" max="10" width="6.625" style="24" hidden="1" customWidth="1"/>
    <col min="11" max="12" width="8.625" style="25" hidden="1" customWidth="1"/>
    <col min="13" max="14" width="10.625" style="60" hidden="1" customWidth="1"/>
    <col min="15" max="15" width="8.625" style="20" hidden="1" customWidth="1"/>
    <col min="16" max="16" width="8.625" style="84" hidden="1" customWidth="1"/>
    <col min="17" max="18" width="7.625" style="41" hidden="1" customWidth="1"/>
    <col min="19" max="19" width="10.625" style="42" hidden="1" customWidth="1"/>
    <col min="20" max="20" width="40.625" style="19" customWidth="1"/>
    <col min="21" max="30" width="3.125" style="17" customWidth="1"/>
    <col min="31" max="38" width="3.125" style="17"/>
    <col min="39" max="60" width="3.125" style="17" customWidth="1"/>
    <col min="61" max="68" width="3.125" style="17"/>
    <col min="69" max="83" width="3.125" style="17" customWidth="1"/>
    <col min="84" max="16384" width="3.125" style="17"/>
  </cols>
  <sheetData>
    <row r="1" spans="1:83" s="134" customFormat="1" ht="20.100000000000001" customHeight="1">
      <c r="A1" s="57"/>
      <c r="B1" s="33"/>
      <c r="C1" s="33"/>
      <c r="D1" s="33"/>
      <c r="E1" s="33"/>
      <c r="F1" s="22"/>
      <c r="G1" s="58"/>
      <c r="H1" s="33"/>
      <c r="I1" s="58"/>
      <c r="J1" s="58"/>
      <c r="K1" s="59"/>
      <c r="L1" s="61"/>
      <c r="M1" s="74"/>
      <c r="N1" s="74"/>
      <c r="O1" s="33"/>
      <c r="P1" s="83"/>
      <c r="Q1" s="36"/>
      <c r="R1" s="36"/>
      <c r="S1" s="38"/>
      <c r="T1" s="252"/>
      <c r="U1" s="180"/>
      <c r="V1" s="292"/>
      <c r="W1" s="292"/>
      <c r="X1" s="292"/>
      <c r="Y1" s="292"/>
      <c r="Z1" s="292"/>
      <c r="AA1" s="292"/>
      <c r="AB1" s="292"/>
      <c r="AC1" s="292"/>
    </row>
    <row r="2" spans="1:83" s="134" customFormat="1" ht="20.100000000000001" customHeight="1">
      <c r="A2" s="334" t="s">
        <v>209</v>
      </c>
      <c r="B2" s="334" t="s">
        <v>0</v>
      </c>
      <c r="C2" s="329" t="s">
        <v>95</v>
      </c>
      <c r="D2" s="329" t="s">
        <v>180</v>
      </c>
      <c r="E2" s="335" t="s">
        <v>45</v>
      </c>
      <c r="F2" s="85" t="s">
        <v>2</v>
      </c>
      <c r="G2" s="86"/>
      <c r="H2" s="336" t="s">
        <v>1</v>
      </c>
      <c r="I2" s="85" t="s">
        <v>20</v>
      </c>
      <c r="J2" s="86"/>
      <c r="K2" s="87" t="s">
        <v>27</v>
      </c>
      <c r="L2" s="88"/>
      <c r="M2" s="335" t="s">
        <v>166</v>
      </c>
      <c r="N2" s="335" t="s">
        <v>92</v>
      </c>
      <c r="O2" s="99" t="s">
        <v>97</v>
      </c>
      <c r="P2" s="90"/>
      <c r="Q2" s="89" t="s">
        <v>21</v>
      </c>
      <c r="R2" s="91"/>
      <c r="S2" s="332" t="s">
        <v>32</v>
      </c>
      <c r="T2" s="329" t="s">
        <v>22</v>
      </c>
      <c r="U2" s="180"/>
      <c r="V2" s="292"/>
      <c r="W2" s="292"/>
      <c r="X2" s="292"/>
      <c r="Y2" s="292"/>
      <c r="Z2" s="292"/>
      <c r="AA2" s="292"/>
      <c r="AB2" s="292"/>
      <c r="AC2" s="292"/>
    </row>
    <row r="3" spans="1:83" s="71" customFormat="1" ht="20.100000000000001" customHeight="1">
      <c r="A3" s="334"/>
      <c r="B3" s="334"/>
      <c r="C3" s="329"/>
      <c r="D3" s="329"/>
      <c r="E3" s="335"/>
      <c r="F3" s="92" t="s">
        <v>3</v>
      </c>
      <c r="G3" s="193" t="s">
        <v>4</v>
      </c>
      <c r="H3" s="337"/>
      <c r="I3" s="92" t="s">
        <v>23</v>
      </c>
      <c r="J3" s="193" t="s">
        <v>24</v>
      </c>
      <c r="K3" s="94" t="s">
        <v>28</v>
      </c>
      <c r="L3" s="95" t="s">
        <v>29</v>
      </c>
      <c r="M3" s="335"/>
      <c r="N3" s="335"/>
      <c r="O3" s="100" t="s">
        <v>98</v>
      </c>
      <c r="P3" s="97" t="s">
        <v>99</v>
      </c>
      <c r="Q3" s="96" t="s">
        <v>25</v>
      </c>
      <c r="R3" s="98" t="s">
        <v>26</v>
      </c>
      <c r="S3" s="333"/>
      <c r="T3" s="329"/>
      <c r="U3" s="325">
        <v>44066</v>
      </c>
      <c r="V3" s="326"/>
      <c r="W3" s="326"/>
      <c r="X3" s="326"/>
      <c r="Y3" s="326"/>
      <c r="Z3" s="326"/>
      <c r="AA3" s="326"/>
      <c r="AB3" s="326"/>
      <c r="AC3" s="326"/>
      <c r="AD3" s="327">
        <v>44075</v>
      </c>
      <c r="AE3" s="326"/>
      <c r="AF3" s="326"/>
      <c r="AG3" s="326"/>
      <c r="AH3" s="326"/>
      <c r="AI3" s="326"/>
      <c r="AJ3" s="326"/>
      <c r="AK3" s="326"/>
      <c r="AL3" s="326"/>
      <c r="AM3" s="326"/>
      <c r="AN3" s="326"/>
      <c r="AO3" s="326"/>
      <c r="AP3" s="326"/>
      <c r="AQ3" s="326"/>
      <c r="AR3" s="326"/>
      <c r="AS3" s="326"/>
      <c r="AT3" s="326"/>
      <c r="AU3" s="326"/>
      <c r="AV3" s="326"/>
      <c r="AW3" s="326"/>
      <c r="AX3" s="326"/>
      <c r="AY3" s="326"/>
      <c r="AZ3" s="326"/>
      <c r="BA3" s="326"/>
      <c r="BB3" s="326"/>
      <c r="BC3" s="326"/>
      <c r="BD3" s="326"/>
      <c r="BE3" s="326"/>
      <c r="BF3" s="326"/>
      <c r="BG3" s="326"/>
      <c r="BH3" s="327">
        <v>44105</v>
      </c>
      <c r="BI3" s="326"/>
      <c r="BJ3" s="326"/>
      <c r="BK3" s="326"/>
      <c r="BL3" s="326"/>
      <c r="BM3" s="326"/>
      <c r="BN3" s="326"/>
      <c r="BO3" s="326"/>
      <c r="BP3" s="326"/>
      <c r="BQ3" s="326"/>
      <c r="BR3" s="326"/>
      <c r="BS3" s="326"/>
      <c r="BT3" s="326"/>
      <c r="BU3" s="326"/>
      <c r="BV3" s="326"/>
      <c r="BW3" s="326"/>
      <c r="BX3" s="326"/>
      <c r="BY3" s="326"/>
      <c r="BZ3" s="326"/>
      <c r="CA3" s="326"/>
      <c r="CB3" s="326"/>
      <c r="CC3" s="326"/>
      <c r="CD3" s="326"/>
      <c r="CE3" s="328"/>
    </row>
    <row r="4" spans="1:83" s="72" customFormat="1" ht="20.100000000000001" customHeight="1">
      <c r="A4" s="18"/>
      <c r="B4" s="18"/>
      <c r="C4" s="18"/>
      <c r="D4" s="75"/>
      <c r="E4" s="135"/>
      <c r="F4" s="23"/>
      <c r="G4" s="78"/>
      <c r="H4" s="117"/>
      <c r="I4" s="23"/>
      <c r="J4" s="78"/>
      <c r="K4" s="26"/>
      <c r="L4" s="79"/>
      <c r="M4" s="112"/>
      <c r="N4" s="77"/>
      <c r="O4" s="101"/>
      <c r="P4" s="81"/>
      <c r="Q4" s="31"/>
      <c r="R4" s="80"/>
      <c r="S4" s="32"/>
      <c r="T4" s="170"/>
      <c r="U4" s="293">
        <v>44066</v>
      </c>
      <c r="V4" s="294">
        <v>44067</v>
      </c>
      <c r="W4" s="294">
        <v>44068</v>
      </c>
      <c r="X4" s="294">
        <v>44069</v>
      </c>
      <c r="Y4" s="294">
        <v>44070</v>
      </c>
      <c r="Z4" s="294">
        <v>44071</v>
      </c>
      <c r="AA4" s="295">
        <v>44072</v>
      </c>
      <c r="AB4" s="296">
        <v>44073</v>
      </c>
      <c r="AC4" s="294">
        <v>44074</v>
      </c>
      <c r="AD4" s="297">
        <v>44075</v>
      </c>
      <c r="AE4" s="294">
        <v>44076</v>
      </c>
      <c r="AF4" s="294">
        <v>44077</v>
      </c>
      <c r="AG4" s="294">
        <v>44078</v>
      </c>
      <c r="AH4" s="295">
        <v>44079</v>
      </c>
      <c r="AI4" s="296">
        <v>44080</v>
      </c>
      <c r="AJ4" s="294">
        <v>44081</v>
      </c>
      <c r="AK4" s="294">
        <v>44082</v>
      </c>
      <c r="AL4" s="294">
        <v>44083</v>
      </c>
      <c r="AM4" s="294">
        <v>44084</v>
      </c>
      <c r="AN4" s="294">
        <v>44085</v>
      </c>
      <c r="AO4" s="295">
        <v>44086</v>
      </c>
      <c r="AP4" s="296">
        <v>44087</v>
      </c>
      <c r="AQ4" s="294">
        <v>44088</v>
      </c>
      <c r="AR4" s="294">
        <v>44089</v>
      </c>
      <c r="AS4" s="294">
        <v>44090</v>
      </c>
      <c r="AT4" s="294">
        <v>44091</v>
      </c>
      <c r="AU4" s="294">
        <v>44092</v>
      </c>
      <c r="AV4" s="295">
        <v>44093</v>
      </c>
      <c r="AW4" s="296">
        <v>44094</v>
      </c>
      <c r="AX4" s="296">
        <v>44095</v>
      </c>
      <c r="AY4" s="296">
        <v>44096</v>
      </c>
      <c r="AZ4" s="294">
        <v>44097</v>
      </c>
      <c r="BA4" s="294">
        <v>44098</v>
      </c>
      <c r="BB4" s="294">
        <v>44099</v>
      </c>
      <c r="BC4" s="295">
        <v>44100</v>
      </c>
      <c r="BD4" s="296">
        <v>44101</v>
      </c>
      <c r="BE4" s="294">
        <v>44102</v>
      </c>
      <c r="BF4" s="294">
        <v>44103</v>
      </c>
      <c r="BG4" s="294">
        <v>44104</v>
      </c>
      <c r="BH4" s="297">
        <v>44105</v>
      </c>
      <c r="BI4" s="294">
        <v>44106</v>
      </c>
      <c r="BJ4" s="295">
        <v>44107</v>
      </c>
      <c r="BK4" s="296">
        <v>44108</v>
      </c>
      <c r="BL4" s="294">
        <v>44109</v>
      </c>
      <c r="BM4" s="294">
        <v>44110</v>
      </c>
      <c r="BN4" s="294">
        <v>44111</v>
      </c>
      <c r="BO4" s="294">
        <v>44112</v>
      </c>
      <c r="BP4" s="294">
        <v>44113</v>
      </c>
      <c r="BQ4" s="295">
        <v>44114</v>
      </c>
      <c r="BR4" s="296">
        <v>44115</v>
      </c>
      <c r="BS4" s="294">
        <v>44116</v>
      </c>
      <c r="BT4" s="294">
        <v>44117</v>
      </c>
      <c r="BU4" s="294">
        <v>44118</v>
      </c>
      <c r="BV4" s="294">
        <v>44119</v>
      </c>
      <c r="BW4" s="294">
        <v>44120</v>
      </c>
      <c r="BX4" s="295">
        <v>44121</v>
      </c>
      <c r="BY4" s="296">
        <v>44122</v>
      </c>
      <c r="BZ4" s="294">
        <v>44123</v>
      </c>
      <c r="CA4" s="294">
        <v>44124</v>
      </c>
      <c r="CB4" s="294">
        <v>44125</v>
      </c>
      <c r="CC4" s="294">
        <v>44126</v>
      </c>
      <c r="CD4" s="294">
        <v>44127</v>
      </c>
      <c r="CE4" s="298">
        <v>44128</v>
      </c>
    </row>
    <row r="5" spans="1:83" s="134" customFormat="1" ht="35.1" customHeight="1">
      <c r="A5" s="330" t="s">
        <v>204</v>
      </c>
      <c r="B5" s="330"/>
      <c r="C5" s="330"/>
      <c r="D5" s="331"/>
      <c r="E5" s="331"/>
      <c r="F5" s="35"/>
      <c r="G5" s="35"/>
      <c r="H5" s="30"/>
      <c r="I5" s="35"/>
      <c r="J5" s="35"/>
      <c r="K5" s="118"/>
      <c r="L5" s="118">
        <v>0</v>
      </c>
      <c r="M5" s="30"/>
      <c r="N5" s="30"/>
      <c r="O5" s="30"/>
      <c r="P5" s="82"/>
      <c r="Q5" s="37"/>
      <c r="R5" s="37"/>
      <c r="S5" s="291">
        <v>0</v>
      </c>
      <c r="T5" s="253"/>
      <c r="U5" s="293"/>
      <c r="V5" s="294"/>
      <c r="W5" s="294"/>
      <c r="X5" s="294"/>
      <c r="Y5" s="294"/>
      <c r="Z5" s="294"/>
      <c r="AA5" s="295"/>
      <c r="AB5" s="296"/>
      <c r="AC5" s="294"/>
      <c r="AD5" s="297"/>
      <c r="AE5" s="294"/>
      <c r="AF5" s="294"/>
      <c r="AG5" s="294"/>
      <c r="AH5" s="295"/>
      <c r="AI5" s="296"/>
      <c r="AJ5" s="294"/>
      <c r="AK5" s="294"/>
      <c r="AL5" s="294"/>
      <c r="AM5" s="294"/>
      <c r="AN5" s="294"/>
      <c r="AO5" s="295"/>
      <c r="AP5" s="296"/>
      <c r="AQ5" s="294"/>
      <c r="AR5" s="294"/>
      <c r="AS5" s="294"/>
      <c r="AT5" s="294"/>
      <c r="AU5" s="294"/>
      <c r="AV5" s="295"/>
      <c r="AW5" s="296"/>
      <c r="AX5" s="296"/>
      <c r="AY5" s="296"/>
      <c r="AZ5" s="294"/>
      <c r="BA5" s="294"/>
      <c r="BB5" s="294"/>
      <c r="BC5" s="295"/>
      <c r="BD5" s="296"/>
      <c r="BE5" s="294"/>
      <c r="BF5" s="294"/>
      <c r="BG5" s="294"/>
      <c r="BH5" s="297"/>
      <c r="BI5" s="294"/>
      <c r="BJ5" s="295"/>
      <c r="BK5" s="296"/>
      <c r="BL5" s="294"/>
      <c r="BM5" s="294"/>
      <c r="BN5" s="294"/>
      <c r="BO5" s="294"/>
      <c r="BP5" s="294"/>
      <c r="BQ5" s="295"/>
      <c r="BR5" s="296"/>
      <c r="BS5" s="294"/>
      <c r="BT5" s="294"/>
      <c r="BU5" s="294"/>
      <c r="BV5" s="294"/>
      <c r="BW5" s="294"/>
      <c r="BX5" s="295"/>
      <c r="BY5" s="296"/>
      <c r="BZ5" s="294"/>
      <c r="CA5" s="294"/>
      <c r="CB5" s="294"/>
      <c r="CC5" s="294"/>
      <c r="CD5" s="294"/>
      <c r="CE5" s="298"/>
    </row>
    <row r="6" spans="1:83" s="72" customFormat="1" ht="20.100000000000001" customHeight="1">
      <c r="A6" s="303">
        <v>1</v>
      </c>
      <c r="B6" s="303">
        <f ca="1">[1]!getIndentLevel(E6)</f>
        <v>1</v>
      </c>
      <c r="C6" s="303"/>
      <c r="D6" s="304">
        <f t="shared" ref="D6:D25" si="0">ROW()-5</f>
        <v>1</v>
      </c>
      <c r="E6" s="305" t="s">
        <v>334</v>
      </c>
      <c r="F6" s="306">
        <f>MIN(F7:F25)</f>
        <v>44076</v>
      </c>
      <c r="G6" s="307">
        <f>MAX(G7:G25)</f>
        <v>44098</v>
      </c>
      <c r="H6" s="308" t="s">
        <v>101</v>
      </c>
      <c r="I6" s="306"/>
      <c r="J6" s="307"/>
      <c r="K6" s="309"/>
      <c r="L6" s="310"/>
      <c r="M6" s="311"/>
      <c r="N6" s="312"/>
      <c r="O6" s="313"/>
      <c r="P6" s="314" t="s">
        <v>340</v>
      </c>
      <c r="Q6" s="315">
        <f>17</f>
        <v>17</v>
      </c>
      <c r="R6" s="316">
        <f>70</f>
        <v>70</v>
      </c>
      <c r="S6" s="317">
        <v>0</v>
      </c>
      <c r="T6" s="318" t="s">
        <v>335</v>
      </c>
      <c r="U6" s="293"/>
      <c r="V6" s="294"/>
      <c r="W6" s="294"/>
      <c r="X6" s="294"/>
      <c r="Y6" s="294"/>
      <c r="Z6" s="294"/>
      <c r="AA6" s="295"/>
      <c r="AB6" s="296"/>
      <c r="AC6" s="294"/>
      <c r="AD6" s="297"/>
      <c r="AE6" s="294"/>
      <c r="AF6" s="294"/>
      <c r="AG6" s="294"/>
      <c r="AH6" s="295"/>
      <c r="AI6" s="296"/>
      <c r="AJ6" s="294"/>
      <c r="AK6" s="294"/>
      <c r="AL6" s="294"/>
      <c r="AM6" s="294"/>
      <c r="AN6" s="294"/>
      <c r="AO6" s="295"/>
      <c r="AP6" s="296"/>
      <c r="AQ6" s="294"/>
      <c r="AR6" s="294"/>
      <c r="AS6" s="294"/>
      <c r="AT6" s="294"/>
      <c r="AU6" s="294"/>
      <c r="AV6" s="295"/>
      <c r="AW6" s="296"/>
      <c r="AX6" s="296"/>
      <c r="AY6" s="296"/>
      <c r="AZ6" s="294"/>
      <c r="BA6" s="294"/>
      <c r="BB6" s="294"/>
      <c r="BC6" s="295"/>
      <c r="BD6" s="296"/>
      <c r="BE6" s="294"/>
      <c r="BF6" s="294"/>
      <c r="BG6" s="294"/>
      <c r="BH6" s="297"/>
      <c r="BI6" s="294"/>
      <c r="BJ6" s="295"/>
      <c r="BK6" s="296"/>
      <c r="BL6" s="294"/>
      <c r="BM6" s="294"/>
      <c r="BN6" s="294"/>
      <c r="BO6" s="294"/>
      <c r="BP6" s="294"/>
      <c r="BQ6" s="295"/>
      <c r="BR6" s="296"/>
      <c r="BS6" s="294"/>
      <c r="BT6" s="294"/>
      <c r="BU6" s="294"/>
      <c r="BV6" s="294"/>
      <c r="BW6" s="294"/>
      <c r="BX6" s="295"/>
      <c r="BY6" s="296"/>
      <c r="BZ6" s="294"/>
      <c r="CA6" s="294"/>
      <c r="CB6" s="294"/>
      <c r="CC6" s="294"/>
      <c r="CD6" s="294"/>
      <c r="CE6" s="298"/>
    </row>
    <row r="7" spans="1:83" s="72" customFormat="1" ht="20.100000000000001" customHeight="1">
      <c r="A7" s="18">
        <v>2</v>
      </c>
      <c r="B7" s="18">
        <f ca="1">[1]!getIndentLevel(E7)</f>
        <v>2</v>
      </c>
      <c r="C7" s="18"/>
      <c r="D7" s="75">
        <f t="shared" si="0"/>
        <v>2</v>
      </c>
      <c r="E7" s="299" t="s">
        <v>80</v>
      </c>
      <c r="F7" s="23">
        <f>MIN(F8:F25)</f>
        <v>44076</v>
      </c>
      <c r="G7" s="78">
        <f>MAX(G8:G25)</f>
        <v>44098</v>
      </c>
      <c r="H7" s="117" t="s">
        <v>101</v>
      </c>
      <c r="I7" s="23"/>
      <c r="J7" s="78"/>
      <c r="K7" s="26"/>
      <c r="L7" s="79"/>
      <c r="M7" s="112"/>
      <c r="N7" s="77"/>
      <c r="O7" s="101">
        <v>6</v>
      </c>
      <c r="P7" s="81" t="s">
        <v>341</v>
      </c>
      <c r="Q7" s="31">
        <f>17</f>
        <v>17</v>
      </c>
      <c r="R7" s="80">
        <v>4</v>
      </c>
      <c r="S7" s="32">
        <v>0</v>
      </c>
      <c r="T7" s="170"/>
      <c r="U7" s="293"/>
      <c r="V7" s="294"/>
      <c r="W7" s="294"/>
      <c r="X7" s="294"/>
      <c r="Y7" s="294"/>
      <c r="Z7" s="294"/>
      <c r="AA7" s="295"/>
      <c r="AB7" s="296"/>
      <c r="AC7" s="294"/>
      <c r="AD7" s="297"/>
      <c r="AE7" s="294"/>
      <c r="AF7" s="294"/>
      <c r="AG7" s="294"/>
      <c r="AH7" s="295"/>
      <c r="AI7" s="296"/>
      <c r="AJ7" s="294"/>
      <c r="AK7" s="294"/>
      <c r="AL7" s="294"/>
      <c r="AM7" s="294"/>
      <c r="AN7" s="294"/>
      <c r="AO7" s="295"/>
      <c r="AP7" s="296"/>
      <c r="AQ7" s="294"/>
      <c r="AR7" s="294"/>
      <c r="AS7" s="294"/>
      <c r="AT7" s="294"/>
      <c r="AU7" s="294"/>
      <c r="AV7" s="295"/>
      <c r="AW7" s="296"/>
      <c r="AX7" s="296"/>
      <c r="AY7" s="296"/>
      <c r="AZ7" s="294"/>
      <c r="BA7" s="294"/>
      <c r="BB7" s="294"/>
      <c r="BC7" s="295"/>
      <c r="BD7" s="296"/>
      <c r="BE7" s="294"/>
      <c r="BF7" s="294"/>
      <c r="BG7" s="294"/>
      <c r="BH7" s="297"/>
      <c r="BI7" s="294"/>
      <c r="BJ7" s="295"/>
      <c r="BK7" s="296"/>
      <c r="BL7" s="294"/>
      <c r="BM7" s="294"/>
      <c r="BN7" s="294"/>
      <c r="BO7" s="294"/>
      <c r="BP7" s="294"/>
      <c r="BQ7" s="295"/>
      <c r="BR7" s="296"/>
      <c r="BS7" s="294"/>
      <c r="BT7" s="294"/>
      <c r="BU7" s="294"/>
      <c r="BV7" s="294"/>
      <c r="BW7" s="294"/>
      <c r="BX7" s="295"/>
      <c r="BY7" s="296"/>
      <c r="BZ7" s="294"/>
      <c r="CA7" s="294"/>
      <c r="CB7" s="294"/>
      <c r="CC7" s="294"/>
      <c r="CD7" s="294"/>
      <c r="CE7" s="298"/>
    </row>
    <row r="8" spans="1:83" s="72" customFormat="1" ht="20.100000000000001" customHeight="1">
      <c r="A8" s="18">
        <v>3</v>
      </c>
      <c r="B8" s="18">
        <f ca="1">[1]!getIndentLevel(E8)</f>
        <v>3</v>
      </c>
      <c r="C8" s="18"/>
      <c r="D8" s="75">
        <f t="shared" si="0"/>
        <v>3</v>
      </c>
      <c r="E8" s="300" t="s">
        <v>81</v>
      </c>
      <c r="F8" s="23">
        <f>MIN(F9:F11)</f>
        <v>44076</v>
      </c>
      <c r="G8" s="78">
        <f>MAX(G9:G11)</f>
        <v>44084</v>
      </c>
      <c r="H8" s="117" t="s">
        <v>101</v>
      </c>
      <c r="I8" s="23"/>
      <c r="J8" s="78"/>
      <c r="K8" s="26"/>
      <c r="L8" s="79"/>
      <c r="M8" s="112"/>
      <c r="N8" s="77"/>
      <c r="O8" s="101">
        <v>7</v>
      </c>
      <c r="P8" s="81" t="s">
        <v>342</v>
      </c>
      <c r="Q8" s="31">
        <f>7</f>
        <v>7</v>
      </c>
      <c r="R8" s="80">
        <v>4</v>
      </c>
      <c r="S8" s="32">
        <v>0</v>
      </c>
      <c r="T8" s="170"/>
      <c r="U8" s="293"/>
      <c r="V8" s="294"/>
      <c r="W8" s="294"/>
      <c r="X8" s="294"/>
      <c r="Y8" s="294"/>
      <c r="Z8" s="294"/>
      <c r="AA8" s="295"/>
      <c r="AB8" s="296"/>
      <c r="AC8" s="294"/>
      <c r="AD8" s="297"/>
      <c r="AE8" s="294"/>
      <c r="AF8" s="294"/>
      <c r="AG8" s="294"/>
      <c r="AH8" s="295"/>
      <c r="AI8" s="296"/>
      <c r="AJ8" s="294"/>
      <c r="AK8" s="294"/>
      <c r="AL8" s="294"/>
      <c r="AM8" s="294"/>
      <c r="AN8" s="294"/>
      <c r="AO8" s="295"/>
      <c r="AP8" s="296"/>
      <c r="AQ8" s="294"/>
      <c r="AR8" s="294"/>
      <c r="AS8" s="294"/>
      <c r="AT8" s="294"/>
      <c r="AU8" s="294"/>
      <c r="AV8" s="295"/>
      <c r="AW8" s="296"/>
      <c r="AX8" s="296"/>
      <c r="AY8" s="296"/>
      <c r="AZ8" s="294"/>
      <c r="BA8" s="294"/>
      <c r="BB8" s="294"/>
      <c r="BC8" s="295"/>
      <c r="BD8" s="296"/>
      <c r="BE8" s="294"/>
      <c r="BF8" s="294"/>
      <c r="BG8" s="294"/>
      <c r="BH8" s="297"/>
      <c r="BI8" s="294"/>
      <c r="BJ8" s="295"/>
      <c r="BK8" s="296"/>
      <c r="BL8" s="294"/>
      <c r="BM8" s="294"/>
      <c r="BN8" s="294"/>
      <c r="BO8" s="294"/>
      <c r="BP8" s="294"/>
      <c r="BQ8" s="295"/>
      <c r="BR8" s="296"/>
      <c r="BS8" s="294"/>
      <c r="BT8" s="294"/>
      <c r="BU8" s="294"/>
      <c r="BV8" s="294"/>
      <c r="BW8" s="294"/>
      <c r="BX8" s="295"/>
      <c r="BY8" s="296"/>
      <c r="BZ8" s="294"/>
      <c r="CA8" s="294"/>
      <c r="CB8" s="294"/>
      <c r="CC8" s="294"/>
      <c r="CD8" s="294"/>
      <c r="CE8" s="298"/>
    </row>
    <row r="9" spans="1:83" s="72" customFormat="1" ht="20.100000000000001" customHeight="1">
      <c r="A9" s="18">
        <v>4</v>
      </c>
      <c r="B9" s="18">
        <f ca="1">[1]!getIndentLevel(E9)</f>
        <v>4</v>
      </c>
      <c r="C9" s="18"/>
      <c r="D9" s="75">
        <f t="shared" si="0"/>
        <v>4</v>
      </c>
      <c r="E9" s="301" t="s">
        <v>264</v>
      </c>
      <c r="F9" s="23">
        <v>44076</v>
      </c>
      <c r="G9" s="78">
        <v>44077</v>
      </c>
      <c r="H9" s="117" t="s">
        <v>119</v>
      </c>
      <c r="I9" s="23"/>
      <c r="J9" s="78"/>
      <c r="K9" s="26"/>
      <c r="L9" s="79"/>
      <c r="M9" s="112"/>
      <c r="N9" s="77"/>
      <c r="O9" s="101">
        <v>8</v>
      </c>
      <c r="P9" s="81"/>
      <c r="Q9" s="31">
        <v>2</v>
      </c>
      <c r="R9" s="80">
        <v>4</v>
      </c>
      <c r="S9" s="32"/>
      <c r="T9" s="170"/>
      <c r="U9" s="293"/>
      <c r="V9" s="294"/>
      <c r="W9" s="294"/>
      <c r="X9" s="294"/>
      <c r="Y9" s="294"/>
      <c r="Z9" s="294"/>
      <c r="AA9" s="295"/>
      <c r="AB9" s="296"/>
      <c r="AC9" s="294"/>
      <c r="AD9" s="297"/>
      <c r="AE9" s="294"/>
      <c r="AF9" s="294"/>
      <c r="AG9" s="294"/>
      <c r="AH9" s="295"/>
      <c r="AI9" s="296"/>
      <c r="AJ9" s="294"/>
      <c r="AK9" s="294"/>
      <c r="AL9" s="294"/>
      <c r="AM9" s="294"/>
      <c r="AN9" s="294"/>
      <c r="AO9" s="295"/>
      <c r="AP9" s="296"/>
      <c r="AQ9" s="294"/>
      <c r="AR9" s="294"/>
      <c r="AS9" s="294"/>
      <c r="AT9" s="294"/>
      <c r="AU9" s="294"/>
      <c r="AV9" s="295"/>
      <c r="AW9" s="296"/>
      <c r="AX9" s="296"/>
      <c r="AY9" s="296"/>
      <c r="AZ9" s="294"/>
      <c r="BA9" s="294"/>
      <c r="BB9" s="294"/>
      <c r="BC9" s="295"/>
      <c r="BD9" s="296"/>
      <c r="BE9" s="294"/>
      <c r="BF9" s="294"/>
      <c r="BG9" s="294"/>
      <c r="BH9" s="297"/>
      <c r="BI9" s="294"/>
      <c r="BJ9" s="295"/>
      <c r="BK9" s="296"/>
      <c r="BL9" s="294"/>
      <c r="BM9" s="294"/>
      <c r="BN9" s="294"/>
      <c r="BO9" s="294"/>
      <c r="BP9" s="294"/>
      <c r="BQ9" s="295"/>
      <c r="BR9" s="296"/>
      <c r="BS9" s="294"/>
      <c r="BT9" s="294"/>
      <c r="BU9" s="294"/>
      <c r="BV9" s="294"/>
      <c r="BW9" s="294"/>
      <c r="BX9" s="295"/>
      <c r="BY9" s="296"/>
      <c r="BZ9" s="294"/>
      <c r="CA9" s="294"/>
      <c r="CB9" s="294"/>
      <c r="CC9" s="294"/>
      <c r="CD9" s="294"/>
      <c r="CE9" s="298"/>
    </row>
    <row r="10" spans="1:83" s="72" customFormat="1" ht="20.100000000000001" customHeight="1">
      <c r="A10" s="18">
        <v>5</v>
      </c>
      <c r="B10" s="18">
        <f ca="1">[1]!getIndentLevel(E10)</f>
        <v>4</v>
      </c>
      <c r="C10" s="18"/>
      <c r="D10" s="75">
        <f t="shared" si="0"/>
        <v>5</v>
      </c>
      <c r="E10" s="301" t="s">
        <v>265</v>
      </c>
      <c r="F10" s="23">
        <v>44078</v>
      </c>
      <c r="G10" s="78">
        <v>44084</v>
      </c>
      <c r="H10" s="117" t="s">
        <v>123</v>
      </c>
      <c r="I10" s="23"/>
      <c r="J10" s="78"/>
      <c r="K10" s="26"/>
      <c r="L10" s="79"/>
      <c r="M10" s="112"/>
      <c r="N10" s="77"/>
      <c r="O10" s="101">
        <v>8</v>
      </c>
      <c r="P10" s="81"/>
      <c r="Q10" s="31">
        <v>2</v>
      </c>
      <c r="R10" s="80">
        <v>2</v>
      </c>
      <c r="S10" s="32"/>
      <c r="T10" s="170"/>
      <c r="U10" s="293"/>
      <c r="V10" s="294"/>
      <c r="W10" s="294"/>
      <c r="X10" s="294"/>
      <c r="Y10" s="294"/>
      <c r="Z10" s="294"/>
      <c r="AA10" s="295"/>
      <c r="AB10" s="296"/>
      <c r="AC10" s="294"/>
      <c r="AD10" s="297"/>
      <c r="AE10" s="294"/>
      <c r="AF10" s="294"/>
      <c r="AG10" s="294"/>
      <c r="AH10" s="295"/>
      <c r="AI10" s="296"/>
      <c r="AJ10" s="294"/>
      <c r="AK10" s="294"/>
      <c r="AL10" s="294"/>
      <c r="AM10" s="294"/>
      <c r="AN10" s="294"/>
      <c r="AO10" s="295"/>
      <c r="AP10" s="296"/>
      <c r="AQ10" s="294"/>
      <c r="AR10" s="294"/>
      <c r="AS10" s="294"/>
      <c r="AT10" s="294"/>
      <c r="AU10" s="294"/>
      <c r="AV10" s="295"/>
      <c r="AW10" s="296"/>
      <c r="AX10" s="296"/>
      <c r="AY10" s="296"/>
      <c r="AZ10" s="294"/>
      <c r="BA10" s="294"/>
      <c r="BB10" s="294"/>
      <c r="BC10" s="295"/>
      <c r="BD10" s="296"/>
      <c r="BE10" s="294"/>
      <c r="BF10" s="294"/>
      <c r="BG10" s="294"/>
      <c r="BH10" s="297"/>
      <c r="BI10" s="294"/>
      <c r="BJ10" s="295"/>
      <c r="BK10" s="296"/>
      <c r="BL10" s="294"/>
      <c r="BM10" s="294"/>
      <c r="BN10" s="294"/>
      <c r="BO10" s="294"/>
      <c r="BP10" s="294"/>
      <c r="BQ10" s="295"/>
      <c r="BR10" s="296"/>
      <c r="BS10" s="294"/>
      <c r="BT10" s="294"/>
      <c r="BU10" s="294"/>
      <c r="BV10" s="294"/>
      <c r="BW10" s="294"/>
      <c r="BX10" s="295"/>
      <c r="BY10" s="296"/>
      <c r="BZ10" s="294"/>
      <c r="CA10" s="294"/>
      <c r="CB10" s="294"/>
      <c r="CC10" s="294"/>
      <c r="CD10" s="294"/>
      <c r="CE10" s="298"/>
    </row>
    <row r="11" spans="1:83" s="72" customFormat="1" ht="20.100000000000001" customHeight="1">
      <c r="A11" s="18">
        <v>6</v>
      </c>
      <c r="B11" s="18">
        <f ca="1">[1]!getIndentLevel(E11)</f>
        <v>4</v>
      </c>
      <c r="C11" s="18"/>
      <c r="D11" s="75">
        <f t="shared" si="0"/>
        <v>6</v>
      </c>
      <c r="E11" s="301" t="s">
        <v>266</v>
      </c>
      <c r="F11" s="23">
        <v>44081</v>
      </c>
      <c r="G11" s="78">
        <v>44083</v>
      </c>
      <c r="H11" s="117" t="s">
        <v>127</v>
      </c>
      <c r="I11" s="23"/>
      <c r="J11" s="78"/>
      <c r="K11" s="26"/>
      <c r="L11" s="79"/>
      <c r="M11" s="112"/>
      <c r="N11" s="77"/>
      <c r="O11" s="101">
        <v>8</v>
      </c>
      <c r="P11" s="81"/>
      <c r="Q11" s="31">
        <v>3</v>
      </c>
      <c r="R11" s="80">
        <v>1</v>
      </c>
      <c r="S11" s="32"/>
      <c r="T11" s="170"/>
      <c r="U11" s="293"/>
      <c r="V11" s="294"/>
      <c r="W11" s="294"/>
      <c r="X11" s="294"/>
      <c r="Y11" s="294"/>
      <c r="Z11" s="294"/>
      <c r="AA11" s="295"/>
      <c r="AB11" s="296"/>
      <c r="AC11" s="294"/>
      <c r="AD11" s="297"/>
      <c r="AE11" s="294"/>
      <c r="AF11" s="294"/>
      <c r="AG11" s="294"/>
      <c r="AH11" s="295"/>
      <c r="AI11" s="296"/>
      <c r="AJ11" s="294"/>
      <c r="AK11" s="294"/>
      <c r="AL11" s="294"/>
      <c r="AM11" s="294"/>
      <c r="AN11" s="294"/>
      <c r="AO11" s="295"/>
      <c r="AP11" s="296"/>
      <c r="AQ11" s="294"/>
      <c r="AR11" s="294"/>
      <c r="AS11" s="294"/>
      <c r="AT11" s="294"/>
      <c r="AU11" s="294"/>
      <c r="AV11" s="295"/>
      <c r="AW11" s="296"/>
      <c r="AX11" s="296"/>
      <c r="AY11" s="296"/>
      <c r="AZ11" s="294"/>
      <c r="BA11" s="294"/>
      <c r="BB11" s="294"/>
      <c r="BC11" s="295"/>
      <c r="BD11" s="296"/>
      <c r="BE11" s="294"/>
      <c r="BF11" s="294"/>
      <c r="BG11" s="294"/>
      <c r="BH11" s="297"/>
      <c r="BI11" s="294"/>
      <c r="BJ11" s="295"/>
      <c r="BK11" s="296"/>
      <c r="BL11" s="294"/>
      <c r="BM11" s="294"/>
      <c r="BN11" s="294"/>
      <c r="BO11" s="294"/>
      <c r="BP11" s="294"/>
      <c r="BQ11" s="295"/>
      <c r="BR11" s="296"/>
      <c r="BS11" s="294"/>
      <c r="BT11" s="294"/>
      <c r="BU11" s="294"/>
      <c r="BV11" s="294"/>
      <c r="BW11" s="294"/>
      <c r="BX11" s="295"/>
      <c r="BY11" s="296"/>
      <c r="BZ11" s="294"/>
      <c r="CA11" s="294"/>
      <c r="CB11" s="294"/>
      <c r="CC11" s="294"/>
      <c r="CD11" s="294"/>
      <c r="CE11" s="298"/>
    </row>
    <row r="12" spans="1:83" s="72" customFormat="1" ht="20.100000000000001" customHeight="1">
      <c r="A12" s="18">
        <v>7</v>
      </c>
      <c r="B12" s="18">
        <f ca="1">[1]!getIndentLevel(E12)</f>
        <v>3</v>
      </c>
      <c r="C12" s="18"/>
      <c r="D12" s="75">
        <f t="shared" si="0"/>
        <v>7</v>
      </c>
      <c r="E12" s="300" t="s">
        <v>336</v>
      </c>
      <c r="F12" s="23">
        <f>MIN(F13:F25)</f>
        <v>44084</v>
      </c>
      <c r="G12" s="78">
        <f>MAX(G13:G25)</f>
        <v>44098</v>
      </c>
      <c r="H12" s="117" t="s">
        <v>101</v>
      </c>
      <c r="I12" s="23"/>
      <c r="J12" s="78"/>
      <c r="K12" s="26"/>
      <c r="L12" s="79"/>
      <c r="M12" s="112"/>
      <c r="N12" s="77"/>
      <c r="O12" s="101">
        <v>7</v>
      </c>
      <c r="P12" s="81" t="s">
        <v>343</v>
      </c>
      <c r="Q12" s="31">
        <f>11</f>
        <v>11</v>
      </c>
      <c r="R12" s="80">
        <v>4</v>
      </c>
      <c r="S12" s="32">
        <v>0</v>
      </c>
      <c r="T12" s="170"/>
      <c r="U12" s="293"/>
      <c r="V12" s="294"/>
      <c r="W12" s="294"/>
      <c r="X12" s="294"/>
      <c r="Y12" s="294"/>
      <c r="Z12" s="294"/>
      <c r="AA12" s="295"/>
      <c r="AB12" s="296"/>
      <c r="AC12" s="294"/>
      <c r="AD12" s="297"/>
      <c r="AE12" s="294"/>
      <c r="AF12" s="294"/>
      <c r="AG12" s="294"/>
      <c r="AH12" s="295"/>
      <c r="AI12" s="296"/>
      <c r="AJ12" s="294"/>
      <c r="AK12" s="294"/>
      <c r="AL12" s="294"/>
      <c r="AM12" s="294"/>
      <c r="AN12" s="294"/>
      <c r="AO12" s="295"/>
      <c r="AP12" s="296"/>
      <c r="AQ12" s="294"/>
      <c r="AR12" s="294"/>
      <c r="AS12" s="294"/>
      <c r="AT12" s="294"/>
      <c r="AU12" s="294"/>
      <c r="AV12" s="295"/>
      <c r="AW12" s="296"/>
      <c r="AX12" s="296"/>
      <c r="AY12" s="296"/>
      <c r="AZ12" s="294"/>
      <c r="BA12" s="294"/>
      <c r="BB12" s="294"/>
      <c r="BC12" s="295"/>
      <c r="BD12" s="296"/>
      <c r="BE12" s="294"/>
      <c r="BF12" s="294"/>
      <c r="BG12" s="294"/>
      <c r="BH12" s="297"/>
      <c r="BI12" s="294"/>
      <c r="BJ12" s="295"/>
      <c r="BK12" s="296"/>
      <c r="BL12" s="294"/>
      <c r="BM12" s="294"/>
      <c r="BN12" s="294"/>
      <c r="BO12" s="294"/>
      <c r="BP12" s="294"/>
      <c r="BQ12" s="295"/>
      <c r="BR12" s="296"/>
      <c r="BS12" s="294"/>
      <c r="BT12" s="294"/>
      <c r="BU12" s="294"/>
      <c r="BV12" s="294"/>
      <c r="BW12" s="294"/>
      <c r="BX12" s="295"/>
      <c r="BY12" s="296"/>
      <c r="BZ12" s="294"/>
      <c r="CA12" s="294"/>
      <c r="CB12" s="294"/>
      <c r="CC12" s="294"/>
      <c r="CD12" s="294"/>
      <c r="CE12" s="298"/>
    </row>
    <row r="13" spans="1:83" s="72" customFormat="1" ht="20.100000000000001" customHeight="1">
      <c r="A13" s="18">
        <v>8</v>
      </c>
      <c r="B13" s="18">
        <f ca="1">[1]!getIndentLevel(E13)</f>
        <v>4</v>
      </c>
      <c r="C13" s="18"/>
      <c r="D13" s="75">
        <f t="shared" si="0"/>
        <v>8</v>
      </c>
      <c r="E13" s="301" t="s">
        <v>146</v>
      </c>
      <c r="F13" s="23">
        <f>MIN(F14:F19)</f>
        <v>44084</v>
      </c>
      <c r="G13" s="78">
        <f>MAX(G14:G19)</f>
        <v>44092</v>
      </c>
      <c r="H13" s="117" t="s">
        <v>101</v>
      </c>
      <c r="I13" s="23"/>
      <c r="J13" s="78"/>
      <c r="K13" s="26"/>
      <c r="L13" s="79"/>
      <c r="M13" s="112"/>
      <c r="N13" s="77"/>
      <c r="O13" s="101">
        <v>12</v>
      </c>
      <c r="P13" s="81" t="s">
        <v>344</v>
      </c>
      <c r="Q13" s="31">
        <f>7</f>
        <v>7</v>
      </c>
      <c r="R13" s="80">
        <v>4</v>
      </c>
      <c r="S13" s="32">
        <v>0</v>
      </c>
      <c r="T13" s="170"/>
      <c r="U13" s="293"/>
      <c r="V13" s="294"/>
      <c r="W13" s="294"/>
      <c r="X13" s="294"/>
      <c r="Y13" s="294"/>
      <c r="Z13" s="294"/>
      <c r="AA13" s="295"/>
      <c r="AB13" s="296"/>
      <c r="AC13" s="294"/>
      <c r="AD13" s="297"/>
      <c r="AE13" s="294"/>
      <c r="AF13" s="294"/>
      <c r="AG13" s="294"/>
      <c r="AH13" s="295"/>
      <c r="AI13" s="296"/>
      <c r="AJ13" s="294"/>
      <c r="AK13" s="294"/>
      <c r="AL13" s="294"/>
      <c r="AM13" s="294"/>
      <c r="AN13" s="294"/>
      <c r="AO13" s="295"/>
      <c r="AP13" s="296"/>
      <c r="AQ13" s="294"/>
      <c r="AR13" s="294"/>
      <c r="AS13" s="294"/>
      <c r="AT13" s="294"/>
      <c r="AU13" s="294"/>
      <c r="AV13" s="295"/>
      <c r="AW13" s="296"/>
      <c r="AX13" s="296"/>
      <c r="AY13" s="296"/>
      <c r="AZ13" s="294"/>
      <c r="BA13" s="294"/>
      <c r="BB13" s="294"/>
      <c r="BC13" s="295"/>
      <c r="BD13" s="296"/>
      <c r="BE13" s="294"/>
      <c r="BF13" s="294"/>
      <c r="BG13" s="294"/>
      <c r="BH13" s="297"/>
      <c r="BI13" s="294"/>
      <c r="BJ13" s="295"/>
      <c r="BK13" s="296"/>
      <c r="BL13" s="294"/>
      <c r="BM13" s="294"/>
      <c r="BN13" s="294"/>
      <c r="BO13" s="294"/>
      <c r="BP13" s="294"/>
      <c r="BQ13" s="295"/>
      <c r="BR13" s="296"/>
      <c r="BS13" s="294"/>
      <c r="BT13" s="294"/>
      <c r="BU13" s="294"/>
      <c r="BV13" s="294"/>
      <c r="BW13" s="294"/>
      <c r="BX13" s="295"/>
      <c r="BY13" s="296"/>
      <c r="BZ13" s="294"/>
      <c r="CA13" s="294"/>
      <c r="CB13" s="294"/>
      <c r="CC13" s="294"/>
      <c r="CD13" s="294"/>
      <c r="CE13" s="298"/>
    </row>
    <row r="14" spans="1:83" s="72" customFormat="1" ht="20.100000000000001" customHeight="1">
      <c r="A14" s="18">
        <v>9</v>
      </c>
      <c r="B14" s="18">
        <f ca="1">[1]!getIndentLevel(E14)</f>
        <v>5</v>
      </c>
      <c r="C14" s="18" t="s">
        <v>337</v>
      </c>
      <c r="D14" s="75">
        <f t="shared" si="0"/>
        <v>9</v>
      </c>
      <c r="E14" s="302" t="s">
        <v>267</v>
      </c>
      <c r="F14" s="23">
        <v>44084</v>
      </c>
      <c r="G14" s="78">
        <v>44088</v>
      </c>
      <c r="H14" s="117" t="s">
        <v>338</v>
      </c>
      <c r="I14" s="23"/>
      <c r="J14" s="78"/>
      <c r="K14" s="26"/>
      <c r="L14" s="79"/>
      <c r="M14" s="112" t="s">
        <v>169</v>
      </c>
      <c r="N14" s="77"/>
      <c r="O14" s="101">
        <v>13</v>
      </c>
      <c r="P14" s="81"/>
      <c r="Q14" s="31">
        <v>3</v>
      </c>
      <c r="R14" s="80">
        <f>64</f>
        <v>64</v>
      </c>
      <c r="S14" s="32"/>
      <c r="T14" s="170"/>
      <c r="U14" s="293"/>
      <c r="V14" s="294"/>
      <c r="W14" s="294"/>
      <c r="X14" s="294"/>
      <c r="Y14" s="294"/>
      <c r="Z14" s="294"/>
      <c r="AA14" s="295"/>
      <c r="AB14" s="296"/>
      <c r="AC14" s="294"/>
      <c r="AD14" s="297"/>
      <c r="AE14" s="294"/>
      <c r="AF14" s="294"/>
      <c r="AG14" s="294"/>
      <c r="AH14" s="295"/>
      <c r="AI14" s="296"/>
      <c r="AJ14" s="294"/>
      <c r="AK14" s="294"/>
      <c r="AL14" s="294"/>
      <c r="AM14" s="294"/>
      <c r="AN14" s="294"/>
      <c r="AO14" s="295"/>
      <c r="AP14" s="296"/>
      <c r="AQ14" s="294"/>
      <c r="AR14" s="294"/>
      <c r="AS14" s="294"/>
      <c r="AT14" s="294"/>
      <c r="AU14" s="294"/>
      <c r="AV14" s="295"/>
      <c r="AW14" s="296"/>
      <c r="AX14" s="296"/>
      <c r="AY14" s="296"/>
      <c r="AZ14" s="294"/>
      <c r="BA14" s="294"/>
      <c r="BB14" s="294"/>
      <c r="BC14" s="295"/>
      <c r="BD14" s="296"/>
      <c r="BE14" s="294"/>
      <c r="BF14" s="294"/>
      <c r="BG14" s="294"/>
      <c r="BH14" s="297"/>
      <c r="BI14" s="294"/>
      <c r="BJ14" s="295"/>
      <c r="BK14" s="296"/>
      <c r="BL14" s="294"/>
      <c r="BM14" s="294"/>
      <c r="BN14" s="294"/>
      <c r="BO14" s="294"/>
      <c r="BP14" s="294"/>
      <c r="BQ14" s="295"/>
      <c r="BR14" s="296"/>
      <c r="BS14" s="294"/>
      <c r="BT14" s="294"/>
      <c r="BU14" s="294"/>
      <c r="BV14" s="294"/>
      <c r="BW14" s="294"/>
      <c r="BX14" s="295"/>
      <c r="BY14" s="296"/>
      <c r="BZ14" s="294"/>
      <c r="CA14" s="294"/>
      <c r="CB14" s="294"/>
      <c r="CC14" s="294"/>
      <c r="CD14" s="294"/>
      <c r="CE14" s="298"/>
    </row>
    <row r="15" spans="1:83" s="72" customFormat="1" ht="20.100000000000001" hidden="1" customHeight="1">
      <c r="A15" s="18">
        <v>9</v>
      </c>
      <c r="B15" s="18">
        <f ca="1">[1]!getIndentLevel(E15)</f>
        <v>5</v>
      </c>
      <c r="C15" s="18" t="s">
        <v>268</v>
      </c>
      <c r="D15" s="75">
        <f t="shared" si="0"/>
        <v>10</v>
      </c>
      <c r="E15" s="302" t="s">
        <v>267</v>
      </c>
      <c r="F15" s="23">
        <v>44084</v>
      </c>
      <c r="G15" s="78">
        <v>44088</v>
      </c>
      <c r="H15" s="117" t="s">
        <v>119</v>
      </c>
      <c r="I15" s="23"/>
      <c r="J15" s="78"/>
      <c r="K15" s="26"/>
      <c r="L15" s="79"/>
      <c r="M15" s="112">
        <v>10</v>
      </c>
      <c r="N15" s="77"/>
      <c r="O15" s="101">
        <v>13</v>
      </c>
      <c r="P15" s="81"/>
      <c r="Q15" s="31"/>
      <c r="R15" s="80"/>
      <c r="S15" s="32"/>
      <c r="T15" s="170"/>
      <c r="U15" s="293"/>
      <c r="V15" s="294"/>
      <c r="W15" s="294"/>
      <c r="X15" s="294"/>
      <c r="Y15" s="294"/>
      <c r="Z15" s="294"/>
      <c r="AA15" s="295"/>
      <c r="AB15" s="296"/>
      <c r="AC15" s="294"/>
      <c r="AD15" s="297"/>
      <c r="AE15" s="294"/>
      <c r="AF15" s="294"/>
      <c r="AG15" s="294"/>
      <c r="AH15" s="295"/>
      <c r="AI15" s="296"/>
      <c r="AJ15" s="294"/>
      <c r="AK15" s="294"/>
      <c r="AL15" s="294"/>
      <c r="AM15" s="294"/>
      <c r="AN15" s="294"/>
      <c r="AO15" s="295"/>
      <c r="AP15" s="296"/>
      <c r="AQ15" s="294"/>
      <c r="AR15" s="294"/>
      <c r="AS15" s="294"/>
      <c r="AT15" s="294"/>
      <c r="AU15" s="294"/>
      <c r="AV15" s="295"/>
      <c r="AW15" s="296"/>
      <c r="AX15" s="296"/>
      <c r="AY15" s="296"/>
      <c r="AZ15" s="294"/>
      <c r="BA15" s="294"/>
      <c r="BB15" s="294"/>
      <c r="BC15" s="295"/>
      <c r="BD15" s="296"/>
      <c r="BE15" s="294"/>
      <c r="BF15" s="294"/>
      <c r="BG15" s="294"/>
      <c r="BH15" s="297"/>
      <c r="BI15" s="294"/>
      <c r="BJ15" s="295"/>
      <c r="BK15" s="296"/>
      <c r="BL15" s="294"/>
      <c r="BM15" s="294"/>
      <c r="BN15" s="294"/>
      <c r="BO15" s="294"/>
      <c r="BP15" s="294"/>
      <c r="BQ15" s="295"/>
      <c r="BR15" s="296"/>
      <c r="BS15" s="294"/>
      <c r="BT15" s="294"/>
      <c r="BU15" s="294"/>
      <c r="BV15" s="294"/>
      <c r="BW15" s="294"/>
      <c r="BX15" s="295"/>
      <c r="BY15" s="296"/>
      <c r="BZ15" s="294"/>
      <c r="CA15" s="294"/>
      <c r="CB15" s="294"/>
      <c r="CC15" s="294"/>
      <c r="CD15" s="294"/>
      <c r="CE15" s="298"/>
    </row>
    <row r="16" spans="1:83" s="72" customFormat="1" ht="20.100000000000001" hidden="1" customHeight="1">
      <c r="A16" s="18">
        <v>9</v>
      </c>
      <c r="B16" s="18">
        <f ca="1">[1]!getIndentLevel(E16)</f>
        <v>5</v>
      </c>
      <c r="C16" s="18" t="s">
        <v>268</v>
      </c>
      <c r="D16" s="75">
        <f t="shared" si="0"/>
        <v>11</v>
      </c>
      <c r="E16" s="302" t="s">
        <v>267</v>
      </c>
      <c r="F16" s="23">
        <v>44084</v>
      </c>
      <c r="G16" s="78">
        <v>44088</v>
      </c>
      <c r="H16" s="117" t="s">
        <v>120</v>
      </c>
      <c r="I16" s="23"/>
      <c r="J16" s="78"/>
      <c r="K16" s="26"/>
      <c r="L16" s="79"/>
      <c r="M16" s="112">
        <v>10</v>
      </c>
      <c r="N16" s="77"/>
      <c r="O16" s="101">
        <v>13</v>
      </c>
      <c r="P16" s="81"/>
      <c r="Q16" s="31"/>
      <c r="R16" s="80"/>
      <c r="S16" s="32"/>
      <c r="T16" s="170"/>
      <c r="U16" s="293"/>
      <c r="V16" s="294"/>
      <c r="W16" s="294"/>
      <c r="X16" s="294"/>
      <c r="Y16" s="294"/>
      <c r="Z16" s="294"/>
      <c r="AA16" s="295"/>
      <c r="AB16" s="296"/>
      <c r="AC16" s="294"/>
      <c r="AD16" s="297"/>
      <c r="AE16" s="294"/>
      <c r="AF16" s="294"/>
      <c r="AG16" s="294"/>
      <c r="AH16" s="295"/>
      <c r="AI16" s="296"/>
      <c r="AJ16" s="294"/>
      <c r="AK16" s="294"/>
      <c r="AL16" s="294"/>
      <c r="AM16" s="294"/>
      <c r="AN16" s="294"/>
      <c r="AO16" s="295"/>
      <c r="AP16" s="296"/>
      <c r="AQ16" s="294"/>
      <c r="AR16" s="294"/>
      <c r="AS16" s="294"/>
      <c r="AT16" s="294"/>
      <c r="AU16" s="294"/>
      <c r="AV16" s="295"/>
      <c r="AW16" s="296"/>
      <c r="AX16" s="296"/>
      <c r="AY16" s="296"/>
      <c r="AZ16" s="294"/>
      <c r="BA16" s="294"/>
      <c r="BB16" s="294"/>
      <c r="BC16" s="295"/>
      <c r="BD16" s="296"/>
      <c r="BE16" s="294"/>
      <c r="BF16" s="294"/>
      <c r="BG16" s="294"/>
      <c r="BH16" s="297"/>
      <c r="BI16" s="294"/>
      <c r="BJ16" s="295"/>
      <c r="BK16" s="296"/>
      <c r="BL16" s="294"/>
      <c r="BM16" s="294"/>
      <c r="BN16" s="294"/>
      <c r="BO16" s="294"/>
      <c r="BP16" s="294"/>
      <c r="BQ16" s="295"/>
      <c r="BR16" s="296"/>
      <c r="BS16" s="294"/>
      <c r="BT16" s="294"/>
      <c r="BU16" s="294"/>
      <c r="BV16" s="294"/>
      <c r="BW16" s="294"/>
      <c r="BX16" s="295"/>
      <c r="BY16" s="296"/>
      <c r="BZ16" s="294"/>
      <c r="CA16" s="294"/>
      <c r="CB16" s="294"/>
      <c r="CC16" s="294"/>
      <c r="CD16" s="294"/>
      <c r="CE16" s="298"/>
    </row>
    <row r="17" spans="1:83" s="72" customFormat="1" ht="20.100000000000001" hidden="1" customHeight="1">
      <c r="A17" s="18">
        <v>9</v>
      </c>
      <c r="B17" s="18">
        <f ca="1">[1]!getIndentLevel(E17)</f>
        <v>5</v>
      </c>
      <c r="C17" s="18" t="s">
        <v>268</v>
      </c>
      <c r="D17" s="75">
        <f t="shared" si="0"/>
        <v>12</v>
      </c>
      <c r="E17" s="302" t="s">
        <v>267</v>
      </c>
      <c r="F17" s="23">
        <v>44084</v>
      </c>
      <c r="G17" s="78">
        <v>44088</v>
      </c>
      <c r="H17" s="117" t="s">
        <v>131</v>
      </c>
      <c r="I17" s="23"/>
      <c r="J17" s="78"/>
      <c r="K17" s="26"/>
      <c r="L17" s="79"/>
      <c r="M17" s="112">
        <v>80</v>
      </c>
      <c r="N17" s="77"/>
      <c r="O17" s="101">
        <v>13</v>
      </c>
      <c r="P17" s="81"/>
      <c r="Q17" s="31"/>
      <c r="R17" s="80"/>
      <c r="S17" s="32"/>
      <c r="T17" s="170"/>
      <c r="U17" s="293"/>
      <c r="V17" s="294"/>
      <c r="W17" s="294"/>
      <c r="X17" s="294"/>
      <c r="Y17" s="294"/>
      <c r="Z17" s="294"/>
      <c r="AA17" s="295"/>
      <c r="AB17" s="296"/>
      <c r="AC17" s="294"/>
      <c r="AD17" s="297"/>
      <c r="AE17" s="294"/>
      <c r="AF17" s="294"/>
      <c r="AG17" s="294"/>
      <c r="AH17" s="295"/>
      <c r="AI17" s="296"/>
      <c r="AJ17" s="294"/>
      <c r="AK17" s="294"/>
      <c r="AL17" s="294"/>
      <c r="AM17" s="294"/>
      <c r="AN17" s="294"/>
      <c r="AO17" s="295"/>
      <c r="AP17" s="296"/>
      <c r="AQ17" s="294"/>
      <c r="AR17" s="294"/>
      <c r="AS17" s="294"/>
      <c r="AT17" s="294"/>
      <c r="AU17" s="294"/>
      <c r="AV17" s="295"/>
      <c r="AW17" s="296"/>
      <c r="AX17" s="296"/>
      <c r="AY17" s="296"/>
      <c r="AZ17" s="294"/>
      <c r="BA17" s="294"/>
      <c r="BB17" s="294"/>
      <c r="BC17" s="295"/>
      <c r="BD17" s="296"/>
      <c r="BE17" s="294"/>
      <c r="BF17" s="294"/>
      <c r="BG17" s="294"/>
      <c r="BH17" s="297"/>
      <c r="BI17" s="294"/>
      <c r="BJ17" s="295"/>
      <c r="BK17" s="296"/>
      <c r="BL17" s="294"/>
      <c r="BM17" s="294"/>
      <c r="BN17" s="294"/>
      <c r="BO17" s="294"/>
      <c r="BP17" s="294"/>
      <c r="BQ17" s="295"/>
      <c r="BR17" s="296"/>
      <c r="BS17" s="294"/>
      <c r="BT17" s="294"/>
      <c r="BU17" s="294"/>
      <c r="BV17" s="294"/>
      <c r="BW17" s="294"/>
      <c r="BX17" s="295"/>
      <c r="BY17" s="296"/>
      <c r="BZ17" s="294"/>
      <c r="CA17" s="294"/>
      <c r="CB17" s="294"/>
      <c r="CC17" s="294"/>
      <c r="CD17" s="294"/>
      <c r="CE17" s="298"/>
    </row>
    <row r="18" spans="1:83" s="72" customFormat="1" ht="20.100000000000001" customHeight="1">
      <c r="A18" s="18">
        <v>10</v>
      </c>
      <c r="B18" s="18">
        <f ca="1">[1]!getIndentLevel(E18)</f>
        <v>5</v>
      </c>
      <c r="C18" s="18"/>
      <c r="D18" s="75">
        <f t="shared" si="0"/>
        <v>13</v>
      </c>
      <c r="E18" s="302" t="s">
        <v>269</v>
      </c>
      <c r="F18" s="23">
        <v>44088</v>
      </c>
      <c r="G18" s="78">
        <v>44090</v>
      </c>
      <c r="H18" s="117" t="s">
        <v>123</v>
      </c>
      <c r="I18" s="23"/>
      <c r="J18" s="78"/>
      <c r="K18" s="26"/>
      <c r="L18" s="79"/>
      <c r="M18" s="112"/>
      <c r="N18" s="77"/>
      <c r="O18" s="101">
        <v>13</v>
      </c>
      <c r="P18" s="81"/>
      <c r="Q18" s="31">
        <v>3</v>
      </c>
      <c r="R18" s="80">
        <f>62</f>
        <v>62</v>
      </c>
      <c r="S18" s="32"/>
      <c r="T18" s="170"/>
      <c r="U18" s="293"/>
      <c r="V18" s="294"/>
      <c r="W18" s="294"/>
      <c r="X18" s="294"/>
      <c r="Y18" s="294"/>
      <c r="Z18" s="294"/>
      <c r="AA18" s="295"/>
      <c r="AB18" s="296"/>
      <c r="AC18" s="294"/>
      <c r="AD18" s="297"/>
      <c r="AE18" s="294"/>
      <c r="AF18" s="294"/>
      <c r="AG18" s="294"/>
      <c r="AH18" s="295"/>
      <c r="AI18" s="296"/>
      <c r="AJ18" s="294"/>
      <c r="AK18" s="294"/>
      <c r="AL18" s="294"/>
      <c r="AM18" s="294"/>
      <c r="AN18" s="294"/>
      <c r="AO18" s="295"/>
      <c r="AP18" s="296"/>
      <c r="AQ18" s="294"/>
      <c r="AR18" s="294"/>
      <c r="AS18" s="294"/>
      <c r="AT18" s="294"/>
      <c r="AU18" s="294"/>
      <c r="AV18" s="295"/>
      <c r="AW18" s="296"/>
      <c r="AX18" s="296"/>
      <c r="AY18" s="296"/>
      <c r="AZ18" s="294"/>
      <c r="BA18" s="294"/>
      <c r="BB18" s="294"/>
      <c r="BC18" s="295"/>
      <c r="BD18" s="296"/>
      <c r="BE18" s="294"/>
      <c r="BF18" s="294"/>
      <c r="BG18" s="294"/>
      <c r="BH18" s="297"/>
      <c r="BI18" s="294"/>
      <c r="BJ18" s="295"/>
      <c r="BK18" s="296"/>
      <c r="BL18" s="294"/>
      <c r="BM18" s="294"/>
      <c r="BN18" s="294"/>
      <c r="BO18" s="294"/>
      <c r="BP18" s="294"/>
      <c r="BQ18" s="295"/>
      <c r="BR18" s="296"/>
      <c r="BS18" s="294"/>
      <c r="BT18" s="294"/>
      <c r="BU18" s="294"/>
      <c r="BV18" s="294"/>
      <c r="BW18" s="294"/>
      <c r="BX18" s="295"/>
      <c r="BY18" s="296"/>
      <c r="BZ18" s="294"/>
      <c r="CA18" s="294"/>
      <c r="CB18" s="294"/>
      <c r="CC18" s="294"/>
      <c r="CD18" s="294"/>
      <c r="CE18" s="298"/>
    </row>
    <row r="19" spans="1:83" s="72" customFormat="1" ht="20.100000000000001" customHeight="1">
      <c r="A19" s="18">
        <v>11</v>
      </c>
      <c r="B19" s="18">
        <f ca="1">[1]!getIndentLevel(E19)</f>
        <v>5</v>
      </c>
      <c r="C19" s="18"/>
      <c r="D19" s="75">
        <f t="shared" si="0"/>
        <v>14</v>
      </c>
      <c r="E19" s="302" t="s">
        <v>270</v>
      </c>
      <c r="F19" s="23">
        <v>44091</v>
      </c>
      <c r="G19" s="78">
        <v>44092</v>
      </c>
      <c r="H19" s="117" t="s">
        <v>127</v>
      </c>
      <c r="I19" s="23"/>
      <c r="J19" s="78"/>
      <c r="K19" s="26"/>
      <c r="L19" s="79"/>
      <c r="M19" s="112"/>
      <c r="N19" s="77"/>
      <c r="O19" s="101">
        <v>13</v>
      </c>
      <c r="P19" s="81"/>
      <c r="Q19" s="31">
        <v>2</v>
      </c>
      <c r="R19" s="80">
        <f>59</f>
        <v>59</v>
      </c>
      <c r="S19" s="32"/>
      <c r="T19" s="170"/>
      <c r="U19" s="293"/>
      <c r="V19" s="294"/>
      <c r="W19" s="294"/>
      <c r="X19" s="294"/>
      <c r="Y19" s="294"/>
      <c r="Z19" s="294"/>
      <c r="AA19" s="295"/>
      <c r="AB19" s="296"/>
      <c r="AC19" s="294"/>
      <c r="AD19" s="297"/>
      <c r="AE19" s="294"/>
      <c r="AF19" s="294"/>
      <c r="AG19" s="294"/>
      <c r="AH19" s="295"/>
      <c r="AI19" s="296"/>
      <c r="AJ19" s="294"/>
      <c r="AK19" s="294"/>
      <c r="AL19" s="294"/>
      <c r="AM19" s="294"/>
      <c r="AN19" s="294"/>
      <c r="AO19" s="295"/>
      <c r="AP19" s="296"/>
      <c r="AQ19" s="294"/>
      <c r="AR19" s="294"/>
      <c r="AS19" s="294"/>
      <c r="AT19" s="294"/>
      <c r="AU19" s="294"/>
      <c r="AV19" s="295"/>
      <c r="AW19" s="296"/>
      <c r="AX19" s="296"/>
      <c r="AY19" s="296"/>
      <c r="AZ19" s="294"/>
      <c r="BA19" s="294"/>
      <c r="BB19" s="294"/>
      <c r="BC19" s="295"/>
      <c r="BD19" s="296"/>
      <c r="BE19" s="294"/>
      <c r="BF19" s="294"/>
      <c r="BG19" s="294"/>
      <c r="BH19" s="297"/>
      <c r="BI19" s="294"/>
      <c r="BJ19" s="295"/>
      <c r="BK19" s="296"/>
      <c r="BL19" s="294"/>
      <c r="BM19" s="294"/>
      <c r="BN19" s="294"/>
      <c r="BO19" s="294"/>
      <c r="BP19" s="294"/>
      <c r="BQ19" s="295"/>
      <c r="BR19" s="296"/>
      <c r="BS19" s="294"/>
      <c r="BT19" s="294"/>
      <c r="BU19" s="294"/>
      <c r="BV19" s="294"/>
      <c r="BW19" s="294"/>
      <c r="BX19" s="295"/>
      <c r="BY19" s="296"/>
      <c r="BZ19" s="294"/>
      <c r="CA19" s="294"/>
      <c r="CB19" s="294"/>
      <c r="CC19" s="294"/>
      <c r="CD19" s="294"/>
      <c r="CE19" s="298"/>
    </row>
    <row r="20" spans="1:83" s="72" customFormat="1" ht="20.100000000000001" customHeight="1">
      <c r="A20" s="18">
        <v>12</v>
      </c>
      <c r="B20" s="18">
        <f ca="1">[1]!getIndentLevel(E20)</f>
        <v>4</v>
      </c>
      <c r="C20" s="18"/>
      <c r="D20" s="75">
        <f t="shared" si="0"/>
        <v>15</v>
      </c>
      <c r="E20" s="301" t="s">
        <v>172</v>
      </c>
      <c r="F20" s="23">
        <f>MIN(F21:F25)</f>
        <v>44089</v>
      </c>
      <c r="G20" s="78">
        <f>MAX(G21:G25)</f>
        <v>44098</v>
      </c>
      <c r="H20" s="117" t="s">
        <v>101</v>
      </c>
      <c r="I20" s="23"/>
      <c r="J20" s="78"/>
      <c r="K20" s="26"/>
      <c r="L20" s="79"/>
      <c r="M20" s="112"/>
      <c r="N20" s="77"/>
      <c r="O20" s="101">
        <v>12</v>
      </c>
      <c r="P20" s="81" t="s">
        <v>345</v>
      </c>
      <c r="Q20" s="31">
        <f>8</f>
        <v>8</v>
      </c>
      <c r="R20" s="80">
        <v>7</v>
      </c>
      <c r="S20" s="32">
        <v>0</v>
      </c>
      <c r="T20" s="170"/>
      <c r="U20" s="293"/>
      <c r="V20" s="294"/>
      <c r="W20" s="294"/>
      <c r="X20" s="294"/>
      <c r="Y20" s="294"/>
      <c r="Z20" s="294"/>
      <c r="AA20" s="295"/>
      <c r="AB20" s="296"/>
      <c r="AC20" s="294"/>
      <c r="AD20" s="297"/>
      <c r="AE20" s="294"/>
      <c r="AF20" s="294"/>
      <c r="AG20" s="294"/>
      <c r="AH20" s="295"/>
      <c r="AI20" s="296"/>
      <c r="AJ20" s="294"/>
      <c r="AK20" s="294"/>
      <c r="AL20" s="294"/>
      <c r="AM20" s="294"/>
      <c r="AN20" s="294"/>
      <c r="AO20" s="295"/>
      <c r="AP20" s="296"/>
      <c r="AQ20" s="294"/>
      <c r="AR20" s="294"/>
      <c r="AS20" s="294"/>
      <c r="AT20" s="294"/>
      <c r="AU20" s="294"/>
      <c r="AV20" s="295"/>
      <c r="AW20" s="296"/>
      <c r="AX20" s="296"/>
      <c r="AY20" s="296"/>
      <c r="AZ20" s="294"/>
      <c r="BA20" s="294"/>
      <c r="BB20" s="294"/>
      <c r="BC20" s="295"/>
      <c r="BD20" s="296"/>
      <c r="BE20" s="294"/>
      <c r="BF20" s="294"/>
      <c r="BG20" s="294"/>
      <c r="BH20" s="297"/>
      <c r="BI20" s="294"/>
      <c r="BJ20" s="295"/>
      <c r="BK20" s="296"/>
      <c r="BL20" s="294"/>
      <c r="BM20" s="294"/>
      <c r="BN20" s="294"/>
      <c r="BO20" s="294"/>
      <c r="BP20" s="294"/>
      <c r="BQ20" s="295"/>
      <c r="BR20" s="296"/>
      <c r="BS20" s="294"/>
      <c r="BT20" s="294"/>
      <c r="BU20" s="294"/>
      <c r="BV20" s="294"/>
      <c r="BW20" s="294"/>
      <c r="BX20" s="295"/>
      <c r="BY20" s="296"/>
      <c r="BZ20" s="294"/>
      <c r="CA20" s="294"/>
      <c r="CB20" s="294"/>
      <c r="CC20" s="294"/>
      <c r="CD20" s="294"/>
      <c r="CE20" s="298"/>
    </row>
    <row r="21" spans="1:83" s="72" customFormat="1" ht="20.100000000000001" customHeight="1">
      <c r="A21" s="18">
        <v>13</v>
      </c>
      <c r="B21" s="18">
        <f ca="1">[1]!getIndentLevel(E21)</f>
        <v>5</v>
      </c>
      <c r="C21" s="18" t="s">
        <v>337</v>
      </c>
      <c r="D21" s="75">
        <f t="shared" si="0"/>
        <v>16</v>
      </c>
      <c r="E21" s="302" t="s">
        <v>271</v>
      </c>
      <c r="F21" s="23">
        <v>44089</v>
      </c>
      <c r="G21" s="78">
        <v>44092</v>
      </c>
      <c r="H21" s="117" t="s">
        <v>339</v>
      </c>
      <c r="I21" s="23"/>
      <c r="J21" s="78"/>
      <c r="K21" s="26"/>
      <c r="L21" s="79"/>
      <c r="M21" s="112" t="s">
        <v>171</v>
      </c>
      <c r="N21" s="77"/>
      <c r="O21" s="101">
        <v>20</v>
      </c>
      <c r="P21" s="81"/>
      <c r="Q21" s="31">
        <v>4</v>
      </c>
      <c r="R21" s="80">
        <f>61</f>
        <v>61</v>
      </c>
      <c r="S21" s="32"/>
      <c r="T21" s="170"/>
      <c r="U21" s="293"/>
      <c r="V21" s="294"/>
      <c r="W21" s="294"/>
      <c r="X21" s="294"/>
      <c r="Y21" s="294"/>
      <c r="Z21" s="294"/>
      <c r="AA21" s="295"/>
      <c r="AB21" s="296"/>
      <c r="AC21" s="294"/>
      <c r="AD21" s="297"/>
      <c r="AE21" s="294"/>
      <c r="AF21" s="294"/>
      <c r="AG21" s="294"/>
      <c r="AH21" s="295"/>
      <c r="AI21" s="296"/>
      <c r="AJ21" s="294"/>
      <c r="AK21" s="294"/>
      <c r="AL21" s="294"/>
      <c r="AM21" s="294"/>
      <c r="AN21" s="294"/>
      <c r="AO21" s="295"/>
      <c r="AP21" s="296"/>
      <c r="AQ21" s="294"/>
      <c r="AR21" s="294"/>
      <c r="AS21" s="294"/>
      <c r="AT21" s="294"/>
      <c r="AU21" s="294"/>
      <c r="AV21" s="295"/>
      <c r="AW21" s="296"/>
      <c r="AX21" s="296"/>
      <c r="AY21" s="296"/>
      <c r="AZ21" s="294"/>
      <c r="BA21" s="294"/>
      <c r="BB21" s="294"/>
      <c r="BC21" s="295"/>
      <c r="BD21" s="296"/>
      <c r="BE21" s="294"/>
      <c r="BF21" s="294"/>
      <c r="BG21" s="294"/>
      <c r="BH21" s="297"/>
      <c r="BI21" s="294"/>
      <c r="BJ21" s="295"/>
      <c r="BK21" s="296"/>
      <c r="BL21" s="294"/>
      <c r="BM21" s="294"/>
      <c r="BN21" s="294"/>
      <c r="BO21" s="294"/>
      <c r="BP21" s="294"/>
      <c r="BQ21" s="295"/>
      <c r="BR21" s="296"/>
      <c r="BS21" s="294"/>
      <c r="BT21" s="294"/>
      <c r="BU21" s="294"/>
      <c r="BV21" s="294"/>
      <c r="BW21" s="294"/>
      <c r="BX21" s="295"/>
      <c r="BY21" s="296"/>
      <c r="BZ21" s="294"/>
      <c r="CA21" s="294"/>
      <c r="CB21" s="294"/>
      <c r="CC21" s="294"/>
      <c r="CD21" s="294"/>
      <c r="CE21" s="298"/>
    </row>
    <row r="22" spans="1:83" s="72" customFormat="1" ht="20.100000000000001" hidden="1" customHeight="1">
      <c r="A22" s="18">
        <v>13</v>
      </c>
      <c r="B22" s="18">
        <f ca="1">[1]!getIndentLevel(E22)</f>
        <v>5</v>
      </c>
      <c r="C22" s="18" t="s">
        <v>268</v>
      </c>
      <c r="D22" s="75">
        <f t="shared" si="0"/>
        <v>17</v>
      </c>
      <c r="E22" s="302" t="s">
        <v>271</v>
      </c>
      <c r="F22" s="23">
        <v>44089</v>
      </c>
      <c r="G22" s="78">
        <v>44092</v>
      </c>
      <c r="H22" s="117" t="s">
        <v>119</v>
      </c>
      <c r="I22" s="23"/>
      <c r="J22" s="78"/>
      <c r="K22" s="26"/>
      <c r="L22" s="79"/>
      <c r="M22" s="112"/>
      <c r="N22" s="77"/>
      <c r="O22" s="101">
        <v>20</v>
      </c>
      <c r="P22" s="81"/>
      <c r="Q22" s="31"/>
      <c r="R22" s="80"/>
      <c r="S22" s="32"/>
      <c r="T22" s="170"/>
      <c r="U22" s="293"/>
      <c r="V22" s="294"/>
      <c r="W22" s="294"/>
      <c r="X22" s="294"/>
      <c r="Y22" s="294"/>
      <c r="Z22" s="294"/>
      <c r="AA22" s="295"/>
      <c r="AB22" s="296"/>
      <c r="AC22" s="294"/>
      <c r="AD22" s="297"/>
      <c r="AE22" s="294"/>
      <c r="AF22" s="294"/>
      <c r="AG22" s="294"/>
      <c r="AH22" s="295"/>
      <c r="AI22" s="296"/>
      <c r="AJ22" s="294"/>
      <c r="AK22" s="294"/>
      <c r="AL22" s="294"/>
      <c r="AM22" s="294"/>
      <c r="AN22" s="294"/>
      <c r="AO22" s="295"/>
      <c r="AP22" s="296"/>
      <c r="AQ22" s="294"/>
      <c r="AR22" s="294"/>
      <c r="AS22" s="294"/>
      <c r="AT22" s="294"/>
      <c r="AU22" s="294"/>
      <c r="AV22" s="295"/>
      <c r="AW22" s="296"/>
      <c r="AX22" s="296"/>
      <c r="AY22" s="296"/>
      <c r="AZ22" s="294"/>
      <c r="BA22" s="294"/>
      <c r="BB22" s="294"/>
      <c r="BC22" s="295"/>
      <c r="BD22" s="296"/>
      <c r="BE22" s="294"/>
      <c r="BF22" s="294"/>
      <c r="BG22" s="294"/>
      <c r="BH22" s="297"/>
      <c r="BI22" s="294"/>
      <c r="BJ22" s="295"/>
      <c r="BK22" s="296"/>
      <c r="BL22" s="294"/>
      <c r="BM22" s="294"/>
      <c r="BN22" s="294"/>
      <c r="BO22" s="294"/>
      <c r="BP22" s="294"/>
      <c r="BQ22" s="295"/>
      <c r="BR22" s="296"/>
      <c r="BS22" s="294"/>
      <c r="BT22" s="294"/>
      <c r="BU22" s="294"/>
      <c r="BV22" s="294"/>
      <c r="BW22" s="294"/>
      <c r="BX22" s="295"/>
      <c r="BY22" s="296"/>
      <c r="BZ22" s="294"/>
      <c r="CA22" s="294"/>
      <c r="CB22" s="294"/>
      <c r="CC22" s="294"/>
      <c r="CD22" s="294"/>
      <c r="CE22" s="298"/>
    </row>
    <row r="23" spans="1:83" s="72" customFormat="1" ht="20.100000000000001" hidden="1" customHeight="1">
      <c r="A23" s="18">
        <v>13</v>
      </c>
      <c r="B23" s="18">
        <f ca="1">[1]!getIndentLevel(E23)</f>
        <v>5</v>
      </c>
      <c r="C23" s="18" t="s">
        <v>268</v>
      </c>
      <c r="D23" s="75">
        <f t="shared" si="0"/>
        <v>18</v>
      </c>
      <c r="E23" s="302" t="s">
        <v>271</v>
      </c>
      <c r="F23" s="23">
        <v>44089</v>
      </c>
      <c r="G23" s="78">
        <v>44092</v>
      </c>
      <c r="H23" s="117" t="s">
        <v>120</v>
      </c>
      <c r="I23" s="23"/>
      <c r="J23" s="78"/>
      <c r="K23" s="26"/>
      <c r="L23" s="79"/>
      <c r="M23" s="112"/>
      <c r="N23" s="77"/>
      <c r="O23" s="101">
        <v>20</v>
      </c>
      <c r="P23" s="81"/>
      <c r="Q23" s="31"/>
      <c r="R23" s="80"/>
      <c r="S23" s="32"/>
      <c r="T23" s="170"/>
      <c r="U23" s="293"/>
      <c r="V23" s="294"/>
      <c r="W23" s="294"/>
      <c r="X23" s="294"/>
      <c r="Y23" s="294"/>
      <c r="Z23" s="294"/>
      <c r="AA23" s="295"/>
      <c r="AB23" s="296"/>
      <c r="AC23" s="294"/>
      <c r="AD23" s="297"/>
      <c r="AE23" s="294"/>
      <c r="AF23" s="294"/>
      <c r="AG23" s="294"/>
      <c r="AH23" s="295"/>
      <c r="AI23" s="296"/>
      <c r="AJ23" s="294"/>
      <c r="AK23" s="294"/>
      <c r="AL23" s="294"/>
      <c r="AM23" s="294"/>
      <c r="AN23" s="294"/>
      <c r="AO23" s="295"/>
      <c r="AP23" s="296"/>
      <c r="AQ23" s="294"/>
      <c r="AR23" s="294"/>
      <c r="AS23" s="294"/>
      <c r="AT23" s="294"/>
      <c r="AU23" s="294"/>
      <c r="AV23" s="295"/>
      <c r="AW23" s="296"/>
      <c r="AX23" s="296"/>
      <c r="AY23" s="296"/>
      <c r="AZ23" s="294"/>
      <c r="BA23" s="294"/>
      <c r="BB23" s="294"/>
      <c r="BC23" s="295"/>
      <c r="BD23" s="296"/>
      <c r="BE23" s="294"/>
      <c r="BF23" s="294"/>
      <c r="BG23" s="294"/>
      <c r="BH23" s="297"/>
      <c r="BI23" s="294"/>
      <c r="BJ23" s="295"/>
      <c r="BK23" s="296"/>
      <c r="BL23" s="294"/>
      <c r="BM23" s="294"/>
      <c r="BN23" s="294"/>
      <c r="BO23" s="294"/>
      <c r="BP23" s="294"/>
      <c r="BQ23" s="295"/>
      <c r="BR23" s="296"/>
      <c r="BS23" s="294"/>
      <c r="BT23" s="294"/>
      <c r="BU23" s="294"/>
      <c r="BV23" s="294"/>
      <c r="BW23" s="294"/>
      <c r="BX23" s="295"/>
      <c r="BY23" s="296"/>
      <c r="BZ23" s="294"/>
      <c r="CA23" s="294"/>
      <c r="CB23" s="294"/>
      <c r="CC23" s="294"/>
      <c r="CD23" s="294"/>
      <c r="CE23" s="298"/>
    </row>
    <row r="24" spans="1:83" s="72" customFormat="1" ht="20.100000000000001" customHeight="1">
      <c r="A24" s="18">
        <v>14</v>
      </c>
      <c r="B24" s="18">
        <f ca="1">[1]!getIndentLevel(E24)</f>
        <v>5</v>
      </c>
      <c r="C24" s="18"/>
      <c r="D24" s="75">
        <f t="shared" si="0"/>
        <v>19</v>
      </c>
      <c r="E24" s="302" t="s">
        <v>272</v>
      </c>
      <c r="F24" s="23">
        <v>44091</v>
      </c>
      <c r="G24" s="78">
        <v>44097</v>
      </c>
      <c r="H24" s="117" t="s">
        <v>123</v>
      </c>
      <c r="I24" s="23"/>
      <c r="J24" s="78"/>
      <c r="K24" s="26"/>
      <c r="L24" s="79"/>
      <c r="M24" s="112"/>
      <c r="N24" s="77"/>
      <c r="O24" s="101">
        <v>20</v>
      </c>
      <c r="P24" s="81"/>
      <c r="Q24" s="31">
        <v>5</v>
      </c>
      <c r="R24" s="80">
        <f>59</f>
        <v>59</v>
      </c>
      <c r="S24" s="32"/>
      <c r="T24" s="170"/>
      <c r="U24" s="293"/>
      <c r="V24" s="294"/>
      <c r="W24" s="294"/>
      <c r="X24" s="294"/>
      <c r="Y24" s="294"/>
      <c r="Z24" s="294"/>
      <c r="AA24" s="295"/>
      <c r="AB24" s="296"/>
      <c r="AC24" s="294"/>
      <c r="AD24" s="297"/>
      <c r="AE24" s="294"/>
      <c r="AF24" s="294"/>
      <c r="AG24" s="294"/>
      <c r="AH24" s="295"/>
      <c r="AI24" s="296"/>
      <c r="AJ24" s="294"/>
      <c r="AK24" s="294"/>
      <c r="AL24" s="294"/>
      <c r="AM24" s="294"/>
      <c r="AN24" s="294"/>
      <c r="AO24" s="295"/>
      <c r="AP24" s="296"/>
      <c r="AQ24" s="294"/>
      <c r="AR24" s="294"/>
      <c r="AS24" s="294"/>
      <c r="AT24" s="294"/>
      <c r="AU24" s="294"/>
      <c r="AV24" s="295"/>
      <c r="AW24" s="296"/>
      <c r="AX24" s="296"/>
      <c r="AY24" s="296"/>
      <c r="AZ24" s="294"/>
      <c r="BA24" s="294"/>
      <c r="BB24" s="294"/>
      <c r="BC24" s="295"/>
      <c r="BD24" s="296"/>
      <c r="BE24" s="294"/>
      <c r="BF24" s="294"/>
      <c r="BG24" s="294"/>
      <c r="BH24" s="297"/>
      <c r="BI24" s="294"/>
      <c r="BJ24" s="295"/>
      <c r="BK24" s="296"/>
      <c r="BL24" s="294"/>
      <c r="BM24" s="294"/>
      <c r="BN24" s="294"/>
      <c r="BO24" s="294"/>
      <c r="BP24" s="294"/>
      <c r="BQ24" s="295"/>
      <c r="BR24" s="296"/>
      <c r="BS24" s="294"/>
      <c r="BT24" s="294"/>
      <c r="BU24" s="294"/>
      <c r="BV24" s="294"/>
      <c r="BW24" s="294"/>
      <c r="BX24" s="295"/>
      <c r="BY24" s="296"/>
      <c r="BZ24" s="294"/>
      <c r="CA24" s="294"/>
      <c r="CB24" s="294"/>
      <c r="CC24" s="294"/>
      <c r="CD24" s="294"/>
      <c r="CE24" s="298"/>
    </row>
    <row r="25" spans="1:83" s="72" customFormat="1" ht="20.100000000000001" customHeight="1">
      <c r="A25" s="18">
        <v>15</v>
      </c>
      <c r="B25" s="18">
        <f ca="1">[1]!getIndentLevel(E25)</f>
        <v>5</v>
      </c>
      <c r="C25" s="18"/>
      <c r="D25" s="75">
        <f t="shared" si="0"/>
        <v>20</v>
      </c>
      <c r="E25" s="302" t="s">
        <v>273</v>
      </c>
      <c r="F25" s="23">
        <v>44097</v>
      </c>
      <c r="G25" s="78">
        <v>44098</v>
      </c>
      <c r="H25" s="117" t="s">
        <v>126</v>
      </c>
      <c r="I25" s="23"/>
      <c r="J25" s="78"/>
      <c r="K25" s="26"/>
      <c r="L25" s="79"/>
      <c r="M25" s="112"/>
      <c r="N25" s="77"/>
      <c r="O25" s="101">
        <v>20</v>
      </c>
      <c r="P25" s="81"/>
      <c r="Q25" s="31">
        <v>2</v>
      </c>
      <c r="R25" s="80">
        <f>55</f>
        <v>55</v>
      </c>
      <c r="S25" s="32"/>
      <c r="T25" s="170"/>
      <c r="U25" s="293"/>
      <c r="V25" s="294"/>
      <c r="W25" s="294"/>
      <c r="X25" s="294"/>
      <c r="Y25" s="294"/>
      <c r="Z25" s="294"/>
      <c r="AA25" s="295"/>
      <c r="AB25" s="296"/>
      <c r="AC25" s="294"/>
      <c r="AD25" s="297"/>
      <c r="AE25" s="294"/>
      <c r="AF25" s="294"/>
      <c r="AG25" s="294"/>
      <c r="AH25" s="295"/>
      <c r="AI25" s="296"/>
      <c r="AJ25" s="294"/>
      <c r="AK25" s="294"/>
      <c r="AL25" s="294"/>
      <c r="AM25" s="294"/>
      <c r="AN25" s="294"/>
      <c r="AO25" s="295"/>
      <c r="AP25" s="296"/>
      <c r="AQ25" s="294"/>
      <c r="AR25" s="294"/>
      <c r="AS25" s="294"/>
      <c r="AT25" s="294"/>
      <c r="AU25" s="294"/>
      <c r="AV25" s="295"/>
      <c r="AW25" s="296"/>
      <c r="AX25" s="296"/>
      <c r="AY25" s="296"/>
      <c r="AZ25" s="294"/>
      <c r="BA25" s="294"/>
      <c r="BB25" s="294"/>
      <c r="BC25" s="295"/>
      <c r="BD25" s="296"/>
      <c r="BE25" s="294"/>
      <c r="BF25" s="294"/>
      <c r="BG25" s="294"/>
      <c r="BH25" s="297"/>
      <c r="BI25" s="294"/>
      <c r="BJ25" s="295"/>
      <c r="BK25" s="296"/>
      <c r="BL25" s="294"/>
      <c r="BM25" s="294"/>
      <c r="BN25" s="294"/>
      <c r="BO25" s="294"/>
      <c r="BP25" s="294"/>
      <c r="BQ25" s="295"/>
      <c r="BR25" s="296"/>
      <c r="BS25" s="294"/>
      <c r="BT25" s="294"/>
      <c r="BU25" s="294"/>
      <c r="BV25" s="294"/>
      <c r="BW25" s="294"/>
      <c r="BX25" s="295"/>
      <c r="BY25" s="296"/>
      <c r="BZ25" s="294"/>
      <c r="CA25" s="294"/>
      <c r="CB25" s="294"/>
      <c r="CC25" s="294"/>
      <c r="CD25" s="294"/>
      <c r="CE25" s="298"/>
    </row>
  </sheetData>
  <sheetProtection formatColumns="0" formatRows="0" autoFilter="0"/>
  <dataConsolidate/>
  <mergeCells count="14">
    <mergeCell ref="U3:AC3"/>
    <mergeCell ref="AD3:BG3"/>
    <mergeCell ref="BH3:CE3"/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7">
    <dataValidation imeMode="disabled" allowBlank="1" showInputMessage="1" showErrorMessage="1" sqref="B2:B3"/>
    <dataValidation imeMode="on" allowBlank="1" showInputMessage="1" showErrorMessage="1" sqref="E1:E3"/>
    <dataValidation imeMode="off" allowBlank="1" showInputMessage="1" showErrorMessage="1" sqref="I4:T4 F4:G4"/>
    <dataValidation imeMode="on" allowBlank="1" showDropDown="1" showInputMessage="1" showErrorMessage="1" sqref="D4:E4"/>
    <dataValidation type="list" allowBlank="1" showInputMessage="1" sqref="H4">
      <formula1>担当者</formula1>
    </dataValidation>
    <dataValidation type="list" allowBlank="1" showInputMessage="1" sqref="H6:H25">
      <formula1>担当者</formula1>
    </dataValidation>
    <dataValidation imeMode="on" allowBlank="1" showDropDown="1" showInputMessage="1" showErrorMessage="1" sqref="E6:E2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90" zoomScaleNormal="90" workbookViewId="0">
      <selection activeCell="E14" sqref="E14"/>
    </sheetView>
  </sheetViews>
  <sheetFormatPr defaultColWidth="3.125" defaultRowHeight="20.100000000000001" customHeight="1"/>
  <cols>
    <col min="1" max="1" width="4.625" style="19" customWidth="1"/>
    <col min="2" max="4" width="3.625" style="19" customWidth="1"/>
    <col min="5" max="5" width="40.625" style="19" customWidth="1"/>
    <col min="6" max="7" width="6.625" style="24" customWidth="1"/>
    <col min="8" max="8" width="10.625" style="20" customWidth="1"/>
    <col min="9" max="10" width="6.625" style="24" customWidth="1"/>
    <col min="11" max="12" width="6.625" style="25" customWidth="1"/>
    <col min="13" max="14" width="10.625" style="60" customWidth="1"/>
    <col min="15" max="15" width="8.625" style="20" customWidth="1"/>
    <col min="16" max="16" width="8.625" style="84" customWidth="1"/>
    <col min="17" max="18" width="7.625" style="41" customWidth="1"/>
    <col min="19" max="19" width="10.625" style="42" customWidth="1"/>
    <col min="20" max="20" width="40.625" style="19" customWidth="1"/>
    <col min="21" max="16384" width="3.125" style="17"/>
  </cols>
  <sheetData>
    <row r="1" spans="1:20" ht="20.100000000000001" customHeight="1">
      <c r="A1" s="57"/>
      <c r="B1" s="33"/>
      <c r="C1" s="33"/>
      <c r="D1" s="33"/>
      <c r="E1" s="33"/>
      <c r="F1" s="22"/>
      <c r="G1" s="58"/>
      <c r="H1" s="33"/>
      <c r="I1" s="58"/>
      <c r="J1" s="58"/>
      <c r="K1" s="59"/>
      <c r="L1" s="61"/>
      <c r="M1" s="74"/>
      <c r="N1" s="74"/>
      <c r="O1" s="33"/>
      <c r="P1" s="83"/>
      <c r="Q1" s="36"/>
      <c r="R1" s="36"/>
      <c r="S1" s="38"/>
      <c r="T1" s="40"/>
    </row>
    <row r="2" spans="1:20" ht="20.100000000000001" customHeight="1">
      <c r="A2" s="334" t="s">
        <v>46</v>
      </c>
      <c r="B2" s="334" t="s">
        <v>0</v>
      </c>
      <c r="C2" s="329" t="s">
        <v>95</v>
      </c>
      <c r="D2" s="329" t="s">
        <v>180</v>
      </c>
      <c r="E2" s="335" t="s">
        <v>45</v>
      </c>
      <c r="F2" s="85" t="s">
        <v>2</v>
      </c>
      <c r="G2" s="86"/>
      <c r="H2" s="336" t="s">
        <v>1</v>
      </c>
      <c r="I2" s="85" t="s">
        <v>20</v>
      </c>
      <c r="J2" s="86"/>
      <c r="K2" s="87" t="s">
        <v>27</v>
      </c>
      <c r="L2" s="88"/>
      <c r="M2" s="335" t="s">
        <v>166</v>
      </c>
      <c r="N2" s="335" t="s">
        <v>92</v>
      </c>
      <c r="O2" s="99" t="s">
        <v>97</v>
      </c>
      <c r="P2" s="90"/>
      <c r="Q2" s="89" t="s">
        <v>21</v>
      </c>
      <c r="R2" s="91"/>
      <c r="S2" s="338" t="s">
        <v>32</v>
      </c>
      <c r="T2" s="340" t="s">
        <v>22</v>
      </c>
    </row>
    <row r="3" spans="1:20" s="27" customFormat="1" ht="20.100000000000001" customHeight="1">
      <c r="A3" s="334"/>
      <c r="B3" s="334"/>
      <c r="C3" s="329"/>
      <c r="D3" s="329"/>
      <c r="E3" s="335"/>
      <c r="F3" s="92" t="s">
        <v>3</v>
      </c>
      <c r="G3" s="93" t="s">
        <v>4</v>
      </c>
      <c r="H3" s="337"/>
      <c r="I3" s="92" t="s">
        <v>23</v>
      </c>
      <c r="J3" s="93" t="s">
        <v>24</v>
      </c>
      <c r="K3" s="94" t="s">
        <v>28</v>
      </c>
      <c r="L3" s="95" t="s">
        <v>29</v>
      </c>
      <c r="M3" s="335"/>
      <c r="N3" s="335"/>
      <c r="O3" s="100" t="s">
        <v>98</v>
      </c>
      <c r="P3" s="97" t="s">
        <v>99</v>
      </c>
      <c r="Q3" s="96" t="s">
        <v>25</v>
      </c>
      <c r="R3" s="98" t="s">
        <v>26</v>
      </c>
      <c r="S3" s="339"/>
      <c r="T3" s="341"/>
    </row>
    <row r="4" spans="1:20" s="28" customFormat="1" ht="20.100000000000001" customHeight="1">
      <c r="A4" s="18"/>
      <c r="B4" s="18"/>
      <c r="C4" s="18"/>
      <c r="D4" s="18"/>
      <c r="E4" s="116"/>
      <c r="F4" s="23"/>
      <c r="G4" s="78"/>
      <c r="H4" s="117"/>
      <c r="I4" s="23"/>
      <c r="J4" s="78"/>
      <c r="K4" s="26"/>
      <c r="L4" s="79"/>
      <c r="M4" s="112"/>
      <c r="N4" s="77"/>
      <c r="O4" s="101"/>
      <c r="P4" s="81"/>
      <c r="Q4" s="31"/>
      <c r="R4" s="80"/>
      <c r="S4" s="32"/>
      <c r="T4" s="43"/>
    </row>
    <row r="5" spans="1:20" ht="35.1" customHeight="1">
      <c r="A5" s="330" t="s">
        <v>204</v>
      </c>
      <c r="B5" s="330"/>
      <c r="C5" s="330"/>
      <c r="D5" s="331"/>
      <c r="E5" s="331"/>
      <c r="F5" s="35"/>
      <c r="G5" s="35"/>
      <c r="H5" s="35"/>
      <c r="I5" s="35"/>
      <c r="J5" s="30"/>
      <c r="K5" s="118"/>
      <c r="L5" s="118"/>
      <c r="M5" s="30"/>
      <c r="N5" s="30"/>
      <c r="O5" s="30"/>
      <c r="P5" s="82"/>
      <c r="Q5" s="37"/>
      <c r="R5" s="37"/>
      <c r="S5" s="119">
        <v>-9.6</v>
      </c>
      <c r="T5" s="30"/>
    </row>
    <row r="6" spans="1:20" s="28" customFormat="1" ht="20.100000000000001" customHeight="1">
      <c r="A6" s="18">
        <v>1</v>
      </c>
      <c r="B6" s="18">
        <v>1</v>
      </c>
      <c r="C6" s="75"/>
      <c r="D6" s="18">
        <f t="shared" ref="D6:D19" si="0">ROW()-5</f>
        <v>1</v>
      </c>
      <c r="E6" s="116" t="s">
        <v>80</v>
      </c>
      <c r="F6" s="23">
        <v>44076</v>
      </c>
      <c r="G6" s="78">
        <v>44098</v>
      </c>
      <c r="H6" s="117" t="s">
        <v>31</v>
      </c>
      <c r="I6" s="23"/>
      <c r="J6" s="78"/>
      <c r="K6" s="26"/>
      <c r="L6" s="79"/>
      <c r="M6" s="112"/>
      <c r="N6" s="77"/>
      <c r="O6" s="101"/>
      <c r="P6" s="81" t="s">
        <v>173</v>
      </c>
      <c r="Q6" s="31">
        <f>17</f>
        <v>17</v>
      </c>
      <c r="R6" s="80">
        <f>4</f>
        <v>4</v>
      </c>
      <c r="S6" s="32">
        <v>-7</v>
      </c>
      <c r="T6" s="43"/>
    </row>
    <row r="7" spans="1:20" s="28" customFormat="1" ht="20.100000000000001" customHeight="1">
      <c r="A7" s="18">
        <v>2</v>
      </c>
      <c r="B7" s="18">
        <v>2</v>
      </c>
      <c r="C7" s="75"/>
      <c r="D7" s="18">
        <f t="shared" si="0"/>
        <v>2</v>
      </c>
      <c r="E7" s="120" t="s">
        <v>81</v>
      </c>
      <c r="F7" s="23">
        <v>44076</v>
      </c>
      <c r="G7" s="78">
        <v>44083</v>
      </c>
      <c r="H7" s="117" t="s">
        <v>31</v>
      </c>
      <c r="I7" s="23"/>
      <c r="J7" s="78"/>
      <c r="K7" s="26"/>
      <c r="L7" s="79"/>
      <c r="M7" s="112"/>
      <c r="N7" s="77"/>
      <c r="O7" s="101">
        <v>6</v>
      </c>
      <c r="P7" s="81" t="s">
        <v>100</v>
      </c>
      <c r="Q7" s="31">
        <f>6</f>
        <v>6</v>
      </c>
      <c r="R7" s="80">
        <f>4</f>
        <v>4</v>
      </c>
      <c r="S7" s="32">
        <v>-7</v>
      </c>
      <c r="T7" s="43"/>
    </row>
    <row r="8" spans="1:20" s="28" customFormat="1" ht="20.100000000000001" customHeight="1">
      <c r="A8" s="18">
        <v>3</v>
      </c>
      <c r="B8" s="18">
        <v>3</v>
      </c>
      <c r="C8" s="75"/>
      <c r="D8" s="18">
        <f t="shared" si="0"/>
        <v>3</v>
      </c>
      <c r="E8" s="121" t="s">
        <v>154</v>
      </c>
      <c r="F8" s="23">
        <v>44076</v>
      </c>
      <c r="G8" s="78">
        <v>44077</v>
      </c>
      <c r="H8" s="117" t="s">
        <v>119</v>
      </c>
      <c r="I8" s="23"/>
      <c r="J8" s="78"/>
      <c r="K8" s="26"/>
      <c r="L8" s="79"/>
      <c r="M8" s="112"/>
      <c r="N8" s="77"/>
      <c r="O8" s="101">
        <v>7</v>
      </c>
      <c r="P8" s="81"/>
      <c r="Q8" s="31">
        <f>2</f>
        <v>2</v>
      </c>
      <c r="R8" s="80">
        <f>4</f>
        <v>4</v>
      </c>
      <c r="S8" s="32">
        <v>-4</v>
      </c>
      <c r="T8" s="43"/>
    </row>
    <row r="9" spans="1:20" s="28" customFormat="1" ht="20.100000000000001" customHeight="1">
      <c r="A9" s="18">
        <v>4</v>
      </c>
      <c r="B9" s="18">
        <v>3</v>
      </c>
      <c r="C9" s="75"/>
      <c r="D9" s="18">
        <f t="shared" si="0"/>
        <v>4</v>
      </c>
      <c r="E9" s="121" t="s">
        <v>206</v>
      </c>
      <c r="F9" s="23">
        <v>44078</v>
      </c>
      <c r="G9" s="78">
        <v>44081</v>
      </c>
      <c r="H9" s="117" t="s">
        <v>123</v>
      </c>
      <c r="I9" s="23"/>
      <c r="J9" s="78"/>
      <c r="K9" s="26"/>
      <c r="L9" s="79"/>
      <c r="M9" s="112"/>
      <c r="N9" s="77"/>
      <c r="O9" s="101">
        <v>7</v>
      </c>
      <c r="P9" s="81"/>
      <c r="Q9" s="31">
        <f>2</f>
        <v>2</v>
      </c>
      <c r="R9" s="80">
        <f>2</f>
        <v>2</v>
      </c>
      <c r="S9" s="32">
        <v>-2</v>
      </c>
      <c r="T9" s="43"/>
    </row>
    <row r="10" spans="1:20" s="28" customFormat="1" ht="20.100000000000001" customHeight="1">
      <c r="A10" s="18">
        <v>5</v>
      </c>
      <c r="B10" s="18">
        <v>3</v>
      </c>
      <c r="C10" s="75"/>
      <c r="D10" s="18">
        <f t="shared" si="0"/>
        <v>5</v>
      </c>
      <c r="E10" s="121" t="s">
        <v>207</v>
      </c>
      <c r="F10" s="23">
        <v>44081</v>
      </c>
      <c r="G10" s="78">
        <v>44083</v>
      </c>
      <c r="H10" s="117" t="s">
        <v>127</v>
      </c>
      <c r="I10" s="23"/>
      <c r="J10" s="78"/>
      <c r="K10" s="26"/>
      <c r="L10" s="79"/>
      <c r="M10" s="112"/>
      <c r="N10" s="77"/>
      <c r="O10" s="101">
        <v>7</v>
      </c>
      <c r="P10" s="81"/>
      <c r="Q10" s="31">
        <f>3</f>
        <v>3</v>
      </c>
      <c r="R10" s="80">
        <f>1</f>
        <v>1</v>
      </c>
      <c r="S10" s="32">
        <v>-1</v>
      </c>
      <c r="T10" s="43"/>
    </row>
    <row r="11" spans="1:20" ht="20.100000000000001" customHeight="1">
      <c r="A11" s="18">
        <v>6</v>
      </c>
      <c r="B11" s="18">
        <v>2</v>
      </c>
      <c r="C11" s="75"/>
      <c r="D11" s="18">
        <f t="shared" si="0"/>
        <v>6</v>
      </c>
      <c r="E11" s="120" t="s">
        <v>195</v>
      </c>
      <c r="F11" s="23">
        <v>44084</v>
      </c>
      <c r="G11" s="78">
        <v>44098</v>
      </c>
      <c r="H11" s="117" t="s">
        <v>31</v>
      </c>
      <c r="I11" s="23"/>
      <c r="J11" s="78"/>
      <c r="K11" s="26"/>
      <c r="L11" s="79"/>
      <c r="M11" s="112"/>
      <c r="N11" s="77"/>
      <c r="O11" s="101">
        <v>7</v>
      </c>
      <c r="P11" s="81" t="s">
        <v>174</v>
      </c>
      <c r="Q11" s="31">
        <f>11</f>
        <v>11</v>
      </c>
      <c r="R11" s="80">
        <f>4</f>
        <v>4</v>
      </c>
      <c r="S11" s="32">
        <v>0</v>
      </c>
      <c r="T11" s="43"/>
    </row>
    <row r="12" spans="1:20" s="28" customFormat="1" ht="20.100000000000001" customHeight="1">
      <c r="A12" s="18">
        <v>7</v>
      </c>
      <c r="B12" s="18">
        <v>3</v>
      </c>
      <c r="C12" s="75"/>
      <c r="D12" s="18">
        <f t="shared" si="0"/>
        <v>7</v>
      </c>
      <c r="E12" s="121" t="s">
        <v>146</v>
      </c>
      <c r="F12" s="23">
        <v>44084</v>
      </c>
      <c r="G12" s="78">
        <v>44092</v>
      </c>
      <c r="H12" s="117" t="s">
        <v>31</v>
      </c>
      <c r="I12" s="23"/>
      <c r="J12" s="78"/>
      <c r="K12" s="26"/>
      <c r="L12" s="79"/>
      <c r="M12" s="112"/>
      <c r="N12" s="77"/>
      <c r="O12" s="101">
        <v>11</v>
      </c>
      <c r="P12" s="81" t="s">
        <v>152</v>
      </c>
      <c r="Q12" s="31">
        <f>7</f>
        <v>7</v>
      </c>
      <c r="R12" s="80">
        <f>4</f>
        <v>4</v>
      </c>
      <c r="S12" s="32">
        <v>0</v>
      </c>
      <c r="T12" s="43"/>
    </row>
    <row r="13" spans="1:20" s="28" customFormat="1" ht="20.100000000000001" customHeight="1">
      <c r="A13" s="18">
        <v>8</v>
      </c>
      <c r="B13" s="18">
        <v>4</v>
      </c>
      <c r="C13" s="75"/>
      <c r="D13" s="18">
        <f t="shared" si="0"/>
        <v>8</v>
      </c>
      <c r="E13" s="122" t="s">
        <v>186</v>
      </c>
      <c r="F13" s="23">
        <v>44084</v>
      </c>
      <c r="G13" s="78">
        <v>44088</v>
      </c>
      <c r="H13" s="117" t="s">
        <v>168</v>
      </c>
      <c r="I13" s="23"/>
      <c r="J13" s="78"/>
      <c r="K13" s="26"/>
      <c r="L13" s="79"/>
      <c r="M13" s="112" t="s">
        <v>169</v>
      </c>
      <c r="N13" s="77"/>
      <c r="O13" s="101">
        <v>12</v>
      </c>
      <c r="P13" s="81"/>
      <c r="Q13" s="31">
        <f>3</f>
        <v>3</v>
      </c>
      <c r="R13" s="80"/>
      <c r="S13" s="32">
        <v>0</v>
      </c>
      <c r="T13" s="43"/>
    </row>
    <row r="14" spans="1:20" s="28" customFormat="1" ht="20.100000000000001" customHeight="1">
      <c r="A14" s="18">
        <v>9</v>
      </c>
      <c r="B14" s="18">
        <v>4</v>
      </c>
      <c r="C14" s="75"/>
      <c r="D14" s="18">
        <f t="shared" si="0"/>
        <v>9</v>
      </c>
      <c r="E14" s="122" t="s">
        <v>187</v>
      </c>
      <c r="F14" s="23">
        <v>44088</v>
      </c>
      <c r="G14" s="78">
        <v>44090</v>
      </c>
      <c r="H14" s="117" t="s">
        <v>123</v>
      </c>
      <c r="I14" s="23"/>
      <c r="J14" s="78"/>
      <c r="K14" s="26"/>
      <c r="L14" s="79"/>
      <c r="M14" s="112"/>
      <c r="N14" s="77"/>
      <c r="O14" s="101">
        <v>12</v>
      </c>
      <c r="P14" s="81"/>
      <c r="Q14" s="31">
        <f>3</f>
        <v>3</v>
      </c>
      <c r="R14" s="80"/>
      <c r="S14" s="32">
        <v>0</v>
      </c>
      <c r="T14" s="43"/>
    </row>
    <row r="15" spans="1:20" s="28" customFormat="1" ht="20.100000000000001" customHeight="1">
      <c r="A15" s="18">
        <v>10</v>
      </c>
      <c r="B15" s="18">
        <v>4</v>
      </c>
      <c r="C15" s="75"/>
      <c r="D15" s="18">
        <f t="shared" si="0"/>
        <v>10</v>
      </c>
      <c r="E15" s="122" t="s">
        <v>188</v>
      </c>
      <c r="F15" s="23">
        <v>44091</v>
      </c>
      <c r="G15" s="78">
        <v>44092</v>
      </c>
      <c r="H15" s="117" t="s">
        <v>127</v>
      </c>
      <c r="I15" s="23"/>
      <c r="J15" s="78"/>
      <c r="K15" s="26"/>
      <c r="L15" s="79"/>
      <c r="M15" s="112"/>
      <c r="N15" s="77"/>
      <c r="O15" s="101">
        <v>12</v>
      </c>
      <c r="P15" s="81"/>
      <c r="Q15" s="31">
        <f>2</f>
        <v>2</v>
      </c>
      <c r="R15" s="80"/>
      <c r="S15" s="32">
        <v>0</v>
      </c>
      <c r="T15" s="43"/>
    </row>
    <row r="16" spans="1:20" s="28" customFormat="1" ht="20.100000000000001" customHeight="1">
      <c r="A16" s="18">
        <v>11</v>
      </c>
      <c r="B16" s="18">
        <v>3</v>
      </c>
      <c r="C16" s="75"/>
      <c r="D16" s="18">
        <f t="shared" si="0"/>
        <v>11</v>
      </c>
      <c r="E16" s="121" t="s">
        <v>172</v>
      </c>
      <c r="F16" s="23">
        <v>44089</v>
      </c>
      <c r="G16" s="78">
        <v>44098</v>
      </c>
      <c r="H16" s="117" t="s">
        <v>31</v>
      </c>
      <c r="I16" s="23"/>
      <c r="J16" s="78"/>
      <c r="K16" s="26"/>
      <c r="L16" s="79"/>
      <c r="M16" s="112"/>
      <c r="N16" s="77"/>
      <c r="O16" s="101">
        <v>12</v>
      </c>
      <c r="P16" s="81" t="s">
        <v>175</v>
      </c>
      <c r="Q16" s="31">
        <f>8</f>
        <v>8</v>
      </c>
      <c r="R16" s="80">
        <f>7</f>
        <v>7</v>
      </c>
      <c r="S16" s="32">
        <v>0</v>
      </c>
      <c r="T16" s="43"/>
    </row>
    <row r="17" spans="1:20" s="28" customFormat="1" ht="20.100000000000001" customHeight="1">
      <c r="A17" s="18">
        <v>12</v>
      </c>
      <c r="B17" s="18">
        <v>4</v>
      </c>
      <c r="C17" s="75"/>
      <c r="D17" s="18">
        <f t="shared" si="0"/>
        <v>12</v>
      </c>
      <c r="E17" s="122" t="s">
        <v>196</v>
      </c>
      <c r="F17" s="23">
        <v>44089</v>
      </c>
      <c r="G17" s="78">
        <v>44092</v>
      </c>
      <c r="H17" s="117" t="s">
        <v>170</v>
      </c>
      <c r="I17" s="23"/>
      <c r="J17" s="78"/>
      <c r="K17" s="26"/>
      <c r="L17" s="79"/>
      <c r="M17" s="112" t="s">
        <v>171</v>
      </c>
      <c r="N17" s="77"/>
      <c r="O17" s="101">
        <v>16</v>
      </c>
      <c r="P17" s="81"/>
      <c r="Q17" s="31">
        <f>4</f>
        <v>4</v>
      </c>
      <c r="R17" s="80"/>
      <c r="S17" s="32">
        <v>0</v>
      </c>
      <c r="T17" s="43"/>
    </row>
    <row r="18" spans="1:20" s="28" customFormat="1" ht="20.100000000000001" customHeight="1">
      <c r="A18" s="18">
        <v>13</v>
      </c>
      <c r="B18" s="18">
        <v>4</v>
      </c>
      <c r="C18" s="75"/>
      <c r="D18" s="18">
        <f t="shared" si="0"/>
        <v>13</v>
      </c>
      <c r="E18" s="122" t="s">
        <v>197</v>
      </c>
      <c r="F18" s="23">
        <v>44091</v>
      </c>
      <c r="G18" s="78">
        <v>44097</v>
      </c>
      <c r="H18" s="117" t="s">
        <v>123</v>
      </c>
      <c r="I18" s="23"/>
      <c r="J18" s="78"/>
      <c r="K18" s="26"/>
      <c r="L18" s="79"/>
      <c r="M18" s="112"/>
      <c r="N18" s="77"/>
      <c r="O18" s="101">
        <v>16</v>
      </c>
      <c r="P18" s="81"/>
      <c r="Q18" s="31">
        <f>5</f>
        <v>5</v>
      </c>
      <c r="R18" s="80"/>
      <c r="S18" s="32">
        <v>0</v>
      </c>
      <c r="T18" s="43"/>
    </row>
    <row r="19" spans="1:20" s="28" customFormat="1" ht="20.100000000000001" customHeight="1">
      <c r="A19" s="18">
        <v>14</v>
      </c>
      <c r="B19" s="18">
        <v>4</v>
      </c>
      <c r="C19" s="75"/>
      <c r="D19" s="18">
        <f t="shared" si="0"/>
        <v>14</v>
      </c>
      <c r="E19" s="122" t="s">
        <v>208</v>
      </c>
      <c r="F19" s="23">
        <v>44097</v>
      </c>
      <c r="G19" s="78">
        <v>44098</v>
      </c>
      <c r="H19" s="117" t="s">
        <v>126</v>
      </c>
      <c r="I19" s="23"/>
      <c r="J19" s="78"/>
      <c r="K19" s="26"/>
      <c r="L19" s="79"/>
      <c r="M19" s="112"/>
      <c r="N19" s="77"/>
      <c r="O19" s="101">
        <v>16</v>
      </c>
      <c r="P19" s="81"/>
      <c r="Q19" s="31">
        <f>2</f>
        <v>2</v>
      </c>
      <c r="R19" s="80"/>
      <c r="S19" s="32">
        <v>0</v>
      </c>
      <c r="T19" s="43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8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T21" sqref="T21"/>
    </sheetView>
  </sheetViews>
  <sheetFormatPr defaultColWidth="3.125" defaultRowHeight="20.100000000000001" customHeight="1" outlineLevelCol="1"/>
  <cols>
    <col min="1" max="1" width="4.625" style="19" customWidth="1"/>
    <col min="2" max="4" width="3.625" style="19" customWidth="1"/>
    <col min="5" max="5" width="10.625" style="19" customWidth="1"/>
    <col min="6" max="6" width="40.625" style="20" customWidth="1"/>
    <col min="7" max="7" width="6.625" style="24" customWidth="1"/>
    <col min="8" max="8" width="6.625" style="24" customWidth="1" collapsed="1"/>
    <col min="9" max="10" width="6.625" style="24" hidden="1" customWidth="1" outlineLevel="1"/>
    <col min="11" max="12" width="8.625" style="25" hidden="1" customWidth="1" outlineLevel="1"/>
    <col min="13" max="14" width="10.625" style="60" hidden="1" customWidth="1" outlineLevel="1"/>
    <col min="15" max="15" width="8.625" style="20" hidden="1" customWidth="1" outlineLevel="1"/>
    <col min="16" max="16" width="8.625" style="84" hidden="1" customWidth="1" outlineLevel="1"/>
    <col min="17" max="18" width="7.625" style="41" hidden="1" customWidth="1" outlineLevel="1"/>
    <col min="19" max="19" width="10.625" style="42" hidden="1" customWidth="1" outlineLevel="1"/>
    <col min="20" max="20" width="40.625" style="19" customWidth="1"/>
    <col min="21" max="21" width="3.125" style="17" customWidth="1"/>
    <col min="22" max="29" width="3.125" style="17"/>
    <col min="30" max="51" width="3.125" style="17" customWidth="1"/>
    <col min="52" max="59" width="3.125" style="17"/>
    <col min="60" max="80" width="3.125" style="17" customWidth="1"/>
    <col min="81" max="16384" width="3.125" style="17"/>
  </cols>
  <sheetData>
    <row r="1" spans="1:80" ht="20.100000000000001" customHeight="1">
      <c r="A1" s="57"/>
      <c r="B1" s="33"/>
      <c r="C1" s="33"/>
      <c r="D1" s="33"/>
      <c r="E1" s="33"/>
      <c r="F1" s="33"/>
      <c r="G1" s="22"/>
      <c r="H1" s="58"/>
      <c r="I1" s="58"/>
      <c r="J1" s="58"/>
      <c r="K1" s="59"/>
      <c r="L1" s="61"/>
      <c r="M1" s="74"/>
      <c r="N1" s="108"/>
      <c r="O1" s="76"/>
      <c r="P1" s="109"/>
      <c r="Q1" s="110"/>
      <c r="R1" s="128"/>
      <c r="S1" s="129"/>
      <c r="T1" s="179"/>
      <c r="U1" s="195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4"/>
      <c r="AP1" s="194"/>
      <c r="AQ1" s="194"/>
      <c r="AR1" s="194"/>
      <c r="AS1" s="194"/>
      <c r="AT1" s="194"/>
      <c r="AU1" s="194"/>
      <c r="AV1" s="194"/>
      <c r="AW1" s="194"/>
      <c r="AX1" s="194"/>
    </row>
    <row r="2" spans="1:80" ht="20.100000000000001" customHeight="1">
      <c r="A2" s="334" t="s">
        <v>46</v>
      </c>
      <c r="B2" s="334" t="s">
        <v>0</v>
      </c>
      <c r="C2" s="334" t="s">
        <v>95</v>
      </c>
      <c r="D2" s="334" t="s">
        <v>180</v>
      </c>
      <c r="E2" s="329" t="s">
        <v>1</v>
      </c>
      <c r="F2" s="335" t="s">
        <v>45</v>
      </c>
      <c r="G2" s="85" t="s">
        <v>2</v>
      </c>
      <c r="H2" s="111"/>
      <c r="I2" s="111" t="s">
        <v>20</v>
      </c>
      <c r="J2" s="111"/>
      <c r="K2" s="103" t="s">
        <v>27</v>
      </c>
      <c r="L2" s="103"/>
      <c r="M2" s="335" t="s">
        <v>166</v>
      </c>
      <c r="N2" s="336" t="s">
        <v>92</v>
      </c>
      <c r="O2" s="99" t="s">
        <v>144</v>
      </c>
      <c r="P2" s="113"/>
      <c r="Q2" s="89" t="s">
        <v>145</v>
      </c>
      <c r="R2" s="125"/>
      <c r="S2" s="350" t="s">
        <v>32</v>
      </c>
      <c r="T2" s="352" t="s">
        <v>22</v>
      </c>
      <c r="U2" s="195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4"/>
      <c r="AQ2" s="194"/>
      <c r="AR2" s="194"/>
      <c r="AS2" s="194"/>
      <c r="AT2" s="194"/>
      <c r="AU2" s="194"/>
      <c r="AV2" s="194"/>
      <c r="AW2" s="194"/>
      <c r="AX2" s="194"/>
    </row>
    <row r="3" spans="1:80" s="27" customFormat="1" ht="20.100000000000001" customHeight="1">
      <c r="A3" s="334"/>
      <c r="B3" s="334"/>
      <c r="C3" s="334"/>
      <c r="D3" s="334"/>
      <c r="E3" s="334"/>
      <c r="F3" s="354"/>
      <c r="G3" s="92" t="s">
        <v>23</v>
      </c>
      <c r="H3" s="193" t="s">
        <v>24</v>
      </c>
      <c r="I3" s="92" t="s">
        <v>23</v>
      </c>
      <c r="J3" s="193" t="s">
        <v>24</v>
      </c>
      <c r="K3" s="94" t="s">
        <v>28</v>
      </c>
      <c r="L3" s="95" t="s">
        <v>29</v>
      </c>
      <c r="M3" s="335"/>
      <c r="N3" s="335"/>
      <c r="O3" s="100" t="s">
        <v>98</v>
      </c>
      <c r="P3" s="97" t="s">
        <v>99</v>
      </c>
      <c r="Q3" s="96" t="s">
        <v>25</v>
      </c>
      <c r="R3" s="126" t="s">
        <v>26</v>
      </c>
      <c r="S3" s="351"/>
      <c r="T3" s="353"/>
      <c r="U3" s="345">
        <v>44075</v>
      </c>
      <c r="V3" s="346"/>
      <c r="W3" s="346"/>
      <c r="X3" s="346"/>
      <c r="Y3" s="346"/>
      <c r="Z3" s="346"/>
      <c r="AA3" s="346"/>
      <c r="AB3" s="346"/>
      <c r="AC3" s="346"/>
      <c r="AD3" s="346"/>
      <c r="AE3" s="346"/>
      <c r="AF3" s="346"/>
      <c r="AG3" s="346"/>
      <c r="AH3" s="346"/>
      <c r="AI3" s="346"/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>
        <v>44105</v>
      </c>
      <c r="AZ3" s="346"/>
      <c r="BA3" s="346"/>
      <c r="BB3" s="346"/>
      <c r="BC3" s="346"/>
      <c r="BD3" s="346"/>
      <c r="BE3" s="346"/>
      <c r="BF3" s="346"/>
      <c r="BG3" s="346"/>
      <c r="BH3" s="346"/>
      <c r="BI3" s="346"/>
      <c r="BJ3" s="346"/>
      <c r="BK3" s="346"/>
      <c r="BL3" s="346"/>
      <c r="BM3" s="346"/>
      <c r="BN3" s="346"/>
      <c r="BO3" s="346"/>
      <c r="BP3" s="346"/>
      <c r="BQ3" s="346"/>
      <c r="BR3" s="346"/>
      <c r="BS3" s="346"/>
      <c r="BT3" s="346"/>
      <c r="BU3" s="346"/>
      <c r="BV3" s="346"/>
      <c r="BW3" s="346"/>
      <c r="BX3" s="346"/>
      <c r="BY3" s="346"/>
      <c r="BZ3" s="346"/>
      <c r="CA3" s="346"/>
      <c r="CB3" s="348"/>
    </row>
    <row r="4" spans="1:80" s="28" customFormat="1" ht="20.100000000000001" customHeight="1">
      <c r="A4" s="18"/>
      <c r="B4" s="18"/>
      <c r="C4" s="124"/>
      <c r="D4" s="18"/>
      <c r="E4" s="102"/>
      <c r="F4" s="112"/>
      <c r="G4" s="23"/>
      <c r="H4" s="78"/>
      <c r="I4" s="23"/>
      <c r="J4" s="78"/>
      <c r="K4" s="26"/>
      <c r="L4" s="79"/>
      <c r="M4" s="77"/>
      <c r="N4" s="104"/>
      <c r="O4" s="105"/>
      <c r="P4" s="106"/>
      <c r="Q4" s="107"/>
      <c r="R4" s="127"/>
      <c r="S4" s="131"/>
      <c r="T4" s="130"/>
      <c r="U4" s="196">
        <v>44075</v>
      </c>
      <c r="V4" s="197">
        <v>44076</v>
      </c>
      <c r="W4" s="197">
        <v>44077</v>
      </c>
      <c r="X4" s="197">
        <v>44078</v>
      </c>
      <c r="Y4" s="198">
        <v>44079</v>
      </c>
      <c r="Z4" s="199">
        <v>44080</v>
      </c>
      <c r="AA4" s="197">
        <v>44081</v>
      </c>
      <c r="AB4" s="197">
        <v>44082</v>
      </c>
      <c r="AC4" s="197">
        <v>44083</v>
      </c>
      <c r="AD4" s="197">
        <v>44084</v>
      </c>
      <c r="AE4" s="197">
        <v>44085</v>
      </c>
      <c r="AF4" s="198">
        <v>44086</v>
      </c>
      <c r="AG4" s="199">
        <v>44087</v>
      </c>
      <c r="AH4" s="197">
        <v>44088</v>
      </c>
      <c r="AI4" s="197">
        <v>44089</v>
      </c>
      <c r="AJ4" s="197">
        <v>44090</v>
      </c>
      <c r="AK4" s="197">
        <v>44091</v>
      </c>
      <c r="AL4" s="197">
        <v>44092</v>
      </c>
      <c r="AM4" s="198">
        <v>44093</v>
      </c>
      <c r="AN4" s="199">
        <v>44094</v>
      </c>
      <c r="AO4" s="199">
        <v>44095</v>
      </c>
      <c r="AP4" s="199">
        <v>44096</v>
      </c>
      <c r="AQ4" s="197">
        <v>44097</v>
      </c>
      <c r="AR4" s="197">
        <v>44098</v>
      </c>
      <c r="AS4" s="197">
        <v>44099</v>
      </c>
      <c r="AT4" s="198">
        <v>44100</v>
      </c>
      <c r="AU4" s="199">
        <v>44101</v>
      </c>
      <c r="AV4" s="197">
        <v>44102</v>
      </c>
      <c r="AW4" s="197">
        <v>44103</v>
      </c>
      <c r="AX4" s="197">
        <v>44104</v>
      </c>
      <c r="AY4" s="200">
        <v>44105</v>
      </c>
      <c r="AZ4" s="197">
        <v>44106</v>
      </c>
      <c r="BA4" s="198">
        <v>44107</v>
      </c>
      <c r="BB4" s="199">
        <v>44108</v>
      </c>
      <c r="BC4" s="197">
        <v>44109</v>
      </c>
      <c r="BD4" s="197">
        <v>44110</v>
      </c>
      <c r="BE4" s="197">
        <v>44111</v>
      </c>
      <c r="BF4" s="197">
        <v>44112</v>
      </c>
      <c r="BG4" s="197">
        <v>44113</v>
      </c>
      <c r="BH4" s="198">
        <v>44114</v>
      </c>
      <c r="BI4" s="199">
        <v>44115</v>
      </c>
      <c r="BJ4" s="199">
        <v>44116</v>
      </c>
      <c r="BK4" s="197">
        <v>44117</v>
      </c>
      <c r="BL4" s="197">
        <v>44118</v>
      </c>
      <c r="BM4" s="197">
        <v>44119</v>
      </c>
      <c r="BN4" s="197">
        <v>44120</v>
      </c>
      <c r="BO4" s="198">
        <v>44121</v>
      </c>
      <c r="BP4" s="199">
        <v>44122</v>
      </c>
      <c r="BQ4" s="197">
        <v>44123</v>
      </c>
      <c r="BR4" s="197">
        <v>44124</v>
      </c>
      <c r="BS4" s="197">
        <v>44125</v>
      </c>
      <c r="BT4" s="197">
        <v>44126</v>
      </c>
      <c r="BU4" s="197">
        <v>44127</v>
      </c>
      <c r="BV4" s="198">
        <v>44128</v>
      </c>
      <c r="BW4" s="199">
        <v>44129</v>
      </c>
      <c r="BX4" s="197">
        <v>44130</v>
      </c>
      <c r="BY4" s="197">
        <v>44131</v>
      </c>
      <c r="BZ4" s="197">
        <v>44132</v>
      </c>
      <c r="CA4" s="197">
        <v>44133</v>
      </c>
      <c r="CB4" s="254">
        <v>44134</v>
      </c>
    </row>
    <row r="5" spans="1:80" s="134" customFormat="1" ht="35.1" customHeight="1">
      <c r="A5" s="330" t="s">
        <v>204</v>
      </c>
      <c r="B5" s="330"/>
      <c r="C5" s="330"/>
      <c r="D5" s="331"/>
      <c r="E5" s="331"/>
      <c r="F5" s="30"/>
      <c r="G5" s="35"/>
      <c r="H5" s="35"/>
      <c r="I5" s="35"/>
      <c r="J5" s="35"/>
      <c r="K5" s="118"/>
      <c r="L5" s="118"/>
      <c r="M5" s="30"/>
      <c r="N5" s="30"/>
      <c r="O5" s="30"/>
      <c r="P5" s="82"/>
      <c r="Q5" s="37"/>
      <c r="R5" s="37"/>
      <c r="S5" s="119"/>
      <c r="T5" s="169"/>
      <c r="U5" s="196"/>
      <c r="V5" s="197"/>
      <c r="W5" s="197"/>
      <c r="X5" s="197"/>
      <c r="Y5" s="198"/>
      <c r="Z5" s="199"/>
      <c r="AA5" s="197"/>
      <c r="AB5" s="197"/>
      <c r="AC5" s="197"/>
      <c r="AD5" s="197"/>
      <c r="AE5" s="197"/>
      <c r="AF5" s="198"/>
      <c r="AG5" s="199"/>
      <c r="AH5" s="197"/>
      <c r="AI5" s="197"/>
      <c r="AJ5" s="197"/>
      <c r="AK5" s="197"/>
      <c r="AL5" s="197"/>
      <c r="AM5" s="198"/>
      <c r="AN5" s="199"/>
      <c r="AO5" s="199"/>
      <c r="AP5" s="199"/>
      <c r="AQ5" s="197"/>
      <c r="AR5" s="197"/>
      <c r="AS5" s="197"/>
      <c r="AT5" s="198"/>
      <c r="AU5" s="199"/>
      <c r="AV5" s="197"/>
      <c r="AW5" s="197"/>
      <c r="AX5" s="197"/>
      <c r="AY5" s="200"/>
      <c r="AZ5" s="197"/>
      <c r="BA5" s="198"/>
      <c r="BB5" s="199"/>
      <c r="BC5" s="197"/>
      <c r="BD5" s="197"/>
      <c r="BE5" s="197"/>
      <c r="BF5" s="197"/>
      <c r="BG5" s="197"/>
      <c r="BH5" s="198"/>
      <c r="BI5" s="199"/>
      <c r="BJ5" s="199"/>
      <c r="BK5" s="197"/>
      <c r="BL5" s="197"/>
      <c r="BM5" s="197"/>
      <c r="BN5" s="197"/>
      <c r="BO5" s="198"/>
      <c r="BP5" s="199"/>
      <c r="BQ5" s="197"/>
      <c r="BR5" s="197"/>
      <c r="BS5" s="197"/>
      <c r="BT5" s="197"/>
      <c r="BU5" s="197"/>
      <c r="BV5" s="198"/>
      <c r="BW5" s="199"/>
      <c r="BX5" s="197"/>
      <c r="BY5" s="197"/>
      <c r="BZ5" s="197"/>
      <c r="CA5" s="197"/>
      <c r="CB5" s="254"/>
    </row>
    <row r="6" spans="1:80" s="28" customFormat="1" ht="20.100000000000001" customHeight="1">
      <c r="A6" s="255">
        <v>4</v>
      </c>
      <c r="B6" s="255">
        <v>1</v>
      </c>
      <c r="C6" s="255"/>
      <c r="D6" s="255">
        <v>4</v>
      </c>
      <c r="E6" s="349" t="s">
        <v>119</v>
      </c>
      <c r="F6" s="256" t="s">
        <v>264</v>
      </c>
      <c r="G6" s="23">
        <v>44076</v>
      </c>
      <c r="H6" s="257">
        <v>44077</v>
      </c>
      <c r="I6" s="23"/>
      <c r="J6" s="257"/>
      <c r="K6" s="26"/>
      <c r="L6" s="258"/>
      <c r="M6" s="259"/>
      <c r="N6" s="201"/>
      <c r="O6" s="105">
        <v>8</v>
      </c>
      <c r="P6" s="106"/>
      <c r="Q6" s="107">
        <v>2</v>
      </c>
      <c r="R6" s="260">
        <v>4</v>
      </c>
      <c r="S6" s="202"/>
      <c r="T6" s="130"/>
      <c r="U6" s="196"/>
      <c r="V6" s="197"/>
      <c r="W6" s="197"/>
      <c r="X6" s="197"/>
      <c r="Y6" s="198"/>
      <c r="Z6" s="199"/>
      <c r="AA6" s="197"/>
      <c r="AB6" s="197"/>
      <c r="AC6" s="197"/>
      <c r="AD6" s="197"/>
      <c r="AE6" s="197"/>
      <c r="AF6" s="198"/>
      <c r="AG6" s="199"/>
      <c r="AH6" s="197"/>
      <c r="AI6" s="197"/>
      <c r="AJ6" s="197"/>
      <c r="AK6" s="197"/>
      <c r="AL6" s="197"/>
      <c r="AM6" s="198"/>
      <c r="AN6" s="199"/>
      <c r="AO6" s="199"/>
      <c r="AP6" s="199"/>
      <c r="AQ6" s="197"/>
      <c r="AR6" s="197"/>
      <c r="AS6" s="197"/>
      <c r="AT6" s="198"/>
      <c r="AU6" s="199"/>
      <c r="AV6" s="197"/>
      <c r="AW6" s="197"/>
      <c r="AX6" s="197"/>
      <c r="AY6" s="200"/>
      <c r="AZ6" s="197"/>
      <c r="BA6" s="198"/>
      <c r="BB6" s="199"/>
      <c r="BC6" s="197"/>
      <c r="BD6" s="197"/>
      <c r="BE6" s="197"/>
      <c r="BF6" s="197"/>
      <c r="BG6" s="197"/>
      <c r="BH6" s="198"/>
      <c r="BI6" s="199"/>
      <c r="BJ6" s="199"/>
      <c r="BK6" s="197"/>
      <c r="BL6" s="197"/>
      <c r="BM6" s="197"/>
      <c r="BN6" s="197"/>
      <c r="BO6" s="198"/>
      <c r="BP6" s="199"/>
      <c r="BQ6" s="197"/>
      <c r="BR6" s="197"/>
      <c r="BS6" s="197"/>
      <c r="BT6" s="197"/>
      <c r="BU6" s="197"/>
      <c r="BV6" s="198"/>
      <c r="BW6" s="199"/>
      <c r="BX6" s="197"/>
      <c r="BY6" s="197"/>
      <c r="BZ6" s="197"/>
      <c r="CA6" s="197"/>
      <c r="CB6" s="254"/>
    </row>
    <row r="7" spans="1:80" s="28" customFormat="1" ht="20.100000000000001" customHeight="1">
      <c r="A7" s="255">
        <v>9</v>
      </c>
      <c r="B7" s="255">
        <v>1</v>
      </c>
      <c r="C7" s="255" t="s">
        <v>268</v>
      </c>
      <c r="D7" s="255">
        <v>10</v>
      </c>
      <c r="E7" s="343"/>
      <c r="F7" s="256" t="s">
        <v>267</v>
      </c>
      <c r="G7" s="23">
        <v>44084</v>
      </c>
      <c r="H7" s="257">
        <v>44088</v>
      </c>
      <c r="I7" s="23"/>
      <c r="J7" s="257"/>
      <c r="K7" s="26"/>
      <c r="L7" s="258"/>
      <c r="M7" s="259">
        <v>10</v>
      </c>
      <c r="N7" s="201"/>
      <c r="O7" s="105">
        <v>13</v>
      </c>
      <c r="P7" s="106"/>
      <c r="Q7" s="107"/>
      <c r="R7" s="260"/>
      <c r="S7" s="202"/>
      <c r="T7" s="130"/>
      <c r="U7" s="196"/>
      <c r="V7" s="197"/>
      <c r="W7" s="197"/>
      <c r="X7" s="197"/>
      <c r="Y7" s="198"/>
      <c r="Z7" s="199"/>
      <c r="AA7" s="197"/>
      <c r="AB7" s="197"/>
      <c r="AC7" s="197"/>
      <c r="AD7" s="197"/>
      <c r="AE7" s="197"/>
      <c r="AF7" s="198"/>
      <c r="AG7" s="199"/>
      <c r="AH7" s="197"/>
      <c r="AI7" s="197"/>
      <c r="AJ7" s="197"/>
      <c r="AK7" s="197"/>
      <c r="AL7" s="197"/>
      <c r="AM7" s="198"/>
      <c r="AN7" s="199"/>
      <c r="AO7" s="199"/>
      <c r="AP7" s="199"/>
      <c r="AQ7" s="197"/>
      <c r="AR7" s="197"/>
      <c r="AS7" s="197"/>
      <c r="AT7" s="198"/>
      <c r="AU7" s="199"/>
      <c r="AV7" s="197"/>
      <c r="AW7" s="197"/>
      <c r="AX7" s="197"/>
      <c r="AY7" s="200"/>
      <c r="AZ7" s="197"/>
      <c r="BA7" s="198"/>
      <c r="BB7" s="199"/>
      <c r="BC7" s="197"/>
      <c r="BD7" s="197"/>
      <c r="BE7" s="197"/>
      <c r="BF7" s="197"/>
      <c r="BG7" s="197"/>
      <c r="BH7" s="198"/>
      <c r="BI7" s="199"/>
      <c r="BJ7" s="199"/>
      <c r="BK7" s="197"/>
      <c r="BL7" s="197"/>
      <c r="BM7" s="197"/>
      <c r="BN7" s="197"/>
      <c r="BO7" s="198"/>
      <c r="BP7" s="199"/>
      <c r="BQ7" s="197"/>
      <c r="BR7" s="197"/>
      <c r="BS7" s="197"/>
      <c r="BT7" s="197"/>
      <c r="BU7" s="197"/>
      <c r="BV7" s="198"/>
      <c r="BW7" s="199"/>
      <c r="BX7" s="197"/>
      <c r="BY7" s="197"/>
      <c r="BZ7" s="197"/>
      <c r="CA7" s="197"/>
      <c r="CB7" s="254"/>
    </row>
    <row r="8" spans="1:80" s="28" customFormat="1" ht="20.100000000000001" customHeight="1" thickBot="1">
      <c r="A8" s="203">
        <v>13</v>
      </c>
      <c r="B8" s="203">
        <v>1</v>
      </c>
      <c r="C8" s="203" t="s">
        <v>268</v>
      </c>
      <c r="D8" s="203">
        <v>17</v>
      </c>
      <c r="E8" s="344"/>
      <c r="F8" s="204" t="s">
        <v>271</v>
      </c>
      <c r="G8" s="205">
        <v>44089</v>
      </c>
      <c r="H8" s="261">
        <v>44092</v>
      </c>
      <c r="I8" s="205"/>
      <c r="J8" s="261"/>
      <c r="K8" s="206"/>
      <c r="L8" s="262"/>
      <c r="M8" s="207"/>
      <c r="N8" s="208"/>
      <c r="O8" s="209">
        <v>20</v>
      </c>
      <c r="P8" s="210"/>
      <c r="Q8" s="211"/>
      <c r="R8" s="263"/>
      <c r="S8" s="212"/>
      <c r="T8" s="213"/>
      <c r="U8" s="214"/>
      <c r="V8" s="215"/>
      <c r="W8" s="215"/>
      <c r="X8" s="215"/>
      <c r="Y8" s="216"/>
      <c r="Z8" s="217"/>
      <c r="AA8" s="215"/>
      <c r="AB8" s="215"/>
      <c r="AC8" s="215"/>
      <c r="AD8" s="215"/>
      <c r="AE8" s="215"/>
      <c r="AF8" s="216"/>
      <c r="AG8" s="217"/>
      <c r="AH8" s="215"/>
      <c r="AI8" s="215"/>
      <c r="AJ8" s="215"/>
      <c r="AK8" s="215"/>
      <c r="AL8" s="215"/>
      <c r="AM8" s="216"/>
      <c r="AN8" s="217"/>
      <c r="AO8" s="217"/>
      <c r="AP8" s="217"/>
      <c r="AQ8" s="215"/>
      <c r="AR8" s="215"/>
      <c r="AS8" s="215"/>
      <c r="AT8" s="216"/>
      <c r="AU8" s="217"/>
      <c r="AV8" s="215"/>
      <c r="AW8" s="215"/>
      <c r="AX8" s="215"/>
      <c r="AY8" s="218"/>
      <c r="AZ8" s="215"/>
      <c r="BA8" s="216"/>
      <c r="BB8" s="217"/>
      <c r="BC8" s="215"/>
      <c r="BD8" s="215"/>
      <c r="BE8" s="215"/>
      <c r="BF8" s="215"/>
      <c r="BG8" s="215"/>
      <c r="BH8" s="216"/>
      <c r="BI8" s="217"/>
      <c r="BJ8" s="217"/>
      <c r="BK8" s="215"/>
      <c r="BL8" s="215"/>
      <c r="BM8" s="215"/>
      <c r="BN8" s="215"/>
      <c r="BO8" s="216"/>
      <c r="BP8" s="217"/>
      <c r="BQ8" s="215"/>
      <c r="BR8" s="215"/>
      <c r="BS8" s="215"/>
      <c r="BT8" s="215"/>
      <c r="BU8" s="215"/>
      <c r="BV8" s="216"/>
      <c r="BW8" s="217"/>
      <c r="BX8" s="215"/>
      <c r="BY8" s="215"/>
      <c r="BZ8" s="215"/>
      <c r="CA8" s="215"/>
      <c r="CB8" s="264"/>
    </row>
    <row r="9" spans="1:80" s="28" customFormat="1" ht="20.100000000000001" customHeight="1" thickTop="1">
      <c r="A9" s="236">
        <v>5</v>
      </c>
      <c r="B9" s="236">
        <v>1</v>
      </c>
      <c r="C9" s="236"/>
      <c r="D9" s="236">
        <v>5</v>
      </c>
      <c r="E9" s="342" t="s">
        <v>123</v>
      </c>
      <c r="F9" s="237" t="s">
        <v>265</v>
      </c>
      <c r="G9" s="238">
        <v>44078</v>
      </c>
      <c r="H9" s="265">
        <v>44081</v>
      </c>
      <c r="I9" s="238"/>
      <c r="J9" s="265"/>
      <c r="K9" s="239"/>
      <c r="L9" s="266"/>
      <c r="M9" s="240"/>
      <c r="N9" s="241"/>
      <c r="O9" s="242">
        <v>8</v>
      </c>
      <c r="P9" s="243"/>
      <c r="Q9" s="244">
        <v>2</v>
      </c>
      <c r="R9" s="267">
        <v>2</v>
      </c>
      <c r="S9" s="245"/>
      <c r="T9" s="246"/>
      <c r="U9" s="247"/>
      <c r="V9" s="248"/>
      <c r="W9" s="248"/>
      <c r="X9" s="248"/>
      <c r="Y9" s="249"/>
      <c r="Z9" s="250"/>
      <c r="AA9" s="248"/>
      <c r="AB9" s="248"/>
      <c r="AC9" s="248"/>
      <c r="AD9" s="248"/>
      <c r="AE9" s="248"/>
      <c r="AF9" s="249"/>
      <c r="AG9" s="250"/>
      <c r="AH9" s="248"/>
      <c r="AI9" s="248"/>
      <c r="AJ9" s="248"/>
      <c r="AK9" s="248"/>
      <c r="AL9" s="248"/>
      <c r="AM9" s="249"/>
      <c r="AN9" s="250"/>
      <c r="AO9" s="250"/>
      <c r="AP9" s="250"/>
      <c r="AQ9" s="248"/>
      <c r="AR9" s="248"/>
      <c r="AS9" s="248"/>
      <c r="AT9" s="249"/>
      <c r="AU9" s="250"/>
      <c r="AV9" s="248"/>
      <c r="AW9" s="248"/>
      <c r="AX9" s="248"/>
      <c r="AY9" s="251"/>
      <c r="AZ9" s="248"/>
      <c r="BA9" s="249"/>
      <c r="BB9" s="250"/>
      <c r="BC9" s="248"/>
      <c r="BD9" s="248"/>
      <c r="BE9" s="248"/>
      <c r="BF9" s="248"/>
      <c r="BG9" s="248"/>
      <c r="BH9" s="249"/>
      <c r="BI9" s="250"/>
      <c r="BJ9" s="250"/>
      <c r="BK9" s="248"/>
      <c r="BL9" s="248"/>
      <c r="BM9" s="248"/>
      <c r="BN9" s="248"/>
      <c r="BO9" s="249"/>
      <c r="BP9" s="250"/>
      <c r="BQ9" s="248"/>
      <c r="BR9" s="248"/>
      <c r="BS9" s="248"/>
      <c r="BT9" s="248"/>
      <c r="BU9" s="248"/>
      <c r="BV9" s="249"/>
      <c r="BW9" s="250"/>
      <c r="BX9" s="248"/>
      <c r="BY9" s="248"/>
      <c r="BZ9" s="248"/>
      <c r="CA9" s="248"/>
      <c r="CB9" s="268"/>
    </row>
    <row r="10" spans="1:80" s="28" customFormat="1" ht="20.100000000000001" customHeight="1">
      <c r="A10" s="255">
        <v>10</v>
      </c>
      <c r="B10" s="255">
        <v>1</v>
      </c>
      <c r="C10" s="255"/>
      <c r="D10" s="255">
        <v>13</v>
      </c>
      <c r="E10" s="343"/>
      <c r="F10" s="256" t="s">
        <v>269</v>
      </c>
      <c r="G10" s="23">
        <v>44088</v>
      </c>
      <c r="H10" s="257">
        <v>44090</v>
      </c>
      <c r="I10" s="23"/>
      <c r="J10" s="257"/>
      <c r="K10" s="26"/>
      <c r="L10" s="258"/>
      <c r="M10" s="259"/>
      <c r="N10" s="201"/>
      <c r="O10" s="105">
        <v>13</v>
      </c>
      <c r="P10" s="106"/>
      <c r="Q10" s="107">
        <v>3</v>
      </c>
      <c r="R10" s="260">
        <v>62</v>
      </c>
      <c r="S10" s="202"/>
      <c r="T10" s="130"/>
      <c r="U10" s="196"/>
      <c r="V10" s="197"/>
      <c r="W10" s="197"/>
      <c r="X10" s="197"/>
      <c r="Y10" s="198"/>
      <c r="Z10" s="199"/>
      <c r="AA10" s="197"/>
      <c r="AB10" s="197"/>
      <c r="AC10" s="197"/>
      <c r="AD10" s="197"/>
      <c r="AE10" s="197"/>
      <c r="AF10" s="198"/>
      <c r="AG10" s="199"/>
      <c r="AH10" s="197"/>
      <c r="AI10" s="197"/>
      <c r="AJ10" s="197"/>
      <c r="AK10" s="197"/>
      <c r="AL10" s="197"/>
      <c r="AM10" s="198"/>
      <c r="AN10" s="199"/>
      <c r="AO10" s="199"/>
      <c r="AP10" s="199"/>
      <c r="AQ10" s="197"/>
      <c r="AR10" s="197"/>
      <c r="AS10" s="197"/>
      <c r="AT10" s="198"/>
      <c r="AU10" s="199"/>
      <c r="AV10" s="197"/>
      <c r="AW10" s="197"/>
      <c r="AX10" s="197"/>
      <c r="AY10" s="200"/>
      <c r="AZ10" s="197"/>
      <c r="BA10" s="198"/>
      <c r="BB10" s="199"/>
      <c r="BC10" s="197"/>
      <c r="BD10" s="197"/>
      <c r="BE10" s="197"/>
      <c r="BF10" s="197"/>
      <c r="BG10" s="197"/>
      <c r="BH10" s="198"/>
      <c r="BI10" s="199"/>
      <c r="BJ10" s="199"/>
      <c r="BK10" s="197"/>
      <c r="BL10" s="197"/>
      <c r="BM10" s="197"/>
      <c r="BN10" s="197"/>
      <c r="BO10" s="198"/>
      <c r="BP10" s="199"/>
      <c r="BQ10" s="197"/>
      <c r="BR10" s="197"/>
      <c r="BS10" s="197"/>
      <c r="BT10" s="197"/>
      <c r="BU10" s="197"/>
      <c r="BV10" s="198"/>
      <c r="BW10" s="199"/>
      <c r="BX10" s="197"/>
      <c r="BY10" s="197"/>
      <c r="BZ10" s="197"/>
      <c r="CA10" s="197"/>
      <c r="CB10" s="254"/>
    </row>
    <row r="11" spans="1:80" s="28" customFormat="1" ht="20.100000000000001" customHeight="1" thickBot="1">
      <c r="A11" s="203">
        <v>14</v>
      </c>
      <c r="B11" s="203">
        <v>1</v>
      </c>
      <c r="C11" s="203"/>
      <c r="D11" s="203">
        <v>19</v>
      </c>
      <c r="E11" s="344"/>
      <c r="F11" s="204" t="s">
        <v>272</v>
      </c>
      <c r="G11" s="205">
        <v>44091</v>
      </c>
      <c r="H11" s="261">
        <v>44097</v>
      </c>
      <c r="I11" s="205"/>
      <c r="J11" s="261"/>
      <c r="K11" s="206"/>
      <c r="L11" s="262"/>
      <c r="M11" s="207"/>
      <c r="N11" s="208"/>
      <c r="O11" s="209">
        <v>20</v>
      </c>
      <c r="P11" s="210"/>
      <c r="Q11" s="211">
        <v>5</v>
      </c>
      <c r="R11" s="263">
        <v>59</v>
      </c>
      <c r="S11" s="212"/>
      <c r="T11" s="213"/>
      <c r="U11" s="214"/>
      <c r="V11" s="215"/>
      <c r="W11" s="215"/>
      <c r="X11" s="215"/>
      <c r="Y11" s="216"/>
      <c r="Z11" s="217"/>
      <c r="AA11" s="215"/>
      <c r="AB11" s="215"/>
      <c r="AC11" s="215"/>
      <c r="AD11" s="215"/>
      <c r="AE11" s="215"/>
      <c r="AF11" s="216"/>
      <c r="AG11" s="217"/>
      <c r="AH11" s="215"/>
      <c r="AI11" s="215"/>
      <c r="AJ11" s="215"/>
      <c r="AK11" s="215"/>
      <c r="AL11" s="215"/>
      <c r="AM11" s="216"/>
      <c r="AN11" s="217"/>
      <c r="AO11" s="217"/>
      <c r="AP11" s="217"/>
      <c r="AQ11" s="215"/>
      <c r="AR11" s="215"/>
      <c r="AS11" s="215"/>
      <c r="AT11" s="216"/>
      <c r="AU11" s="217"/>
      <c r="AV11" s="215"/>
      <c r="AW11" s="215"/>
      <c r="AX11" s="215"/>
      <c r="AY11" s="218"/>
      <c r="AZ11" s="215"/>
      <c r="BA11" s="216"/>
      <c r="BB11" s="217"/>
      <c r="BC11" s="215"/>
      <c r="BD11" s="215"/>
      <c r="BE11" s="215"/>
      <c r="BF11" s="215"/>
      <c r="BG11" s="215"/>
      <c r="BH11" s="216"/>
      <c r="BI11" s="217"/>
      <c r="BJ11" s="217"/>
      <c r="BK11" s="215"/>
      <c r="BL11" s="215"/>
      <c r="BM11" s="215"/>
      <c r="BN11" s="215"/>
      <c r="BO11" s="216"/>
      <c r="BP11" s="217"/>
      <c r="BQ11" s="215"/>
      <c r="BR11" s="215"/>
      <c r="BS11" s="215"/>
      <c r="BT11" s="215"/>
      <c r="BU11" s="215"/>
      <c r="BV11" s="216"/>
      <c r="BW11" s="217"/>
      <c r="BX11" s="215"/>
      <c r="BY11" s="215"/>
      <c r="BZ11" s="215"/>
      <c r="CA11" s="215"/>
      <c r="CB11" s="264"/>
    </row>
    <row r="12" spans="1:80" s="28" customFormat="1" ht="20.100000000000001" customHeight="1" thickTop="1">
      <c r="A12" s="236">
        <v>6</v>
      </c>
      <c r="B12" s="236">
        <v>1</v>
      </c>
      <c r="C12" s="236"/>
      <c r="D12" s="236">
        <v>6</v>
      </c>
      <c r="E12" s="342" t="s">
        <v>127</v>
      </c>
      <c r="F12" s="237" t="s">
        <v>266</v>
      </c>
      <c r="G12" s="238">
        <v>44081</v>
      </c>
      <c r="H12" s="265">
        <v>44099</v>
      </c>
      <c r="I12" s="238"/>
      <c r="J12" s="265"/>
      <c r="K12" s="239"/>
      <c r="L12" s="266"/>
      <c r="M12" s="240"/>
      <c r="N12" s="241"/>
      <c r="O12" s="242">
        <v>8</v>
      </c>
      <c r="P12" s="243"/>
      <c r="Q12" s="244">
        <v>3</v>
      </c>
      <c r="R12" s="267">
        <v>1</v>
      </c>
      <c r="S12" s="245"/>
      <c r="T12" s="246"/>
      <c r="U12" s="247"/>
      <c r="V12" s="248"/>
      <c r="W12" s="248"/>
      <c r="X12" s="248"/>
      <c r="Y12" s="249"/>
      <c r="Z12" s="250"/>
      <c r="AA12" s="248"/>
      <c r="AB12" s="248"/>
      <c r="AC12" s="248"/>
      <c r="AD12" s="248"/>
      <c r="AE12" s="248"/>
      <c r="AF12" s="249"/>
      <c r="AG12" s="250"/>
      <c r="AH12" s="248"/>
      <c r="AI12" s="248"/>
      <c r="AJ12" s="248"/>
      <c r="AK12" s="248"/>
      <c r="AL12" s="248"/>
      <c r="AM12" s="249"/>
      <c r="AN12" s="250"/>
      <c r="AO12" s="250"/>
      <c r="AP12" s="250"/>
      <c r="AQ12" s="248"/>
      <c r="AR12" s="248"/>
      <c r="AS12" s="248"/>
      <c r="AT12" s="249"/>
      <c r="AU12" s="250"/>
      <c r="AV12" s="248"/>
      <c r="AW12" s="248"/>
      <c r="AX12" s="248"/>
      <c r="AY12" s="251"/>
      <c r="AZ12" s="248"/>
      <c r="BA12" s="249"/>
      <c r="BB12" s="250"/>
      <c r="BC12" s="248"/>
      <c r="BD12" s="248"/>
      <c r="BE12" s="248"/>
      <c r="BF12" s="248"/>
      <c r="BG12" s="248"/>
      <c r="BH12" s="249"/>
      <c r="BI12" s="250"/>
      <c r="BJ12" s="250"/>
      <c r="BK12" s="248"/>
      <c r="BL12" s="248"/>
      <c r="BM12" s="248"/>
      <c r="BN12" s="248"/>
      <c r="BO12" s="249"/>
      <c r="BP12" s="250"/>
      <c r="BQ12" s="248"/>
      <c r="BR12" s="248"/>
      <c r="BS12" s="248"/>
      <c r="BT12" s="248"/>
      <c r="BU12" s="248"/>
      <c r="BV12" s="249"/>
      <c r="BW12" s="250"/>
      <c r="BX12" s="248"/>
      <c r="BY12" s="248"/>
      <c r="BZ12" s="248"/>
      <c r="CA12" s="248"/>
      <c r="CB12" s="268"/>
    </row>
    <row r="13" spans="1:80" s="28" customFormat="1" ht="20.100000000000001" customHeight="1" thickBot="1">
      <c r="A13" s="203">
        <v>11</v>
      </c>
      <c r="B13" s="203">
        <v>1</v>
      </c>
      <c r="C13" s="203"/>
      <c r="D13" s="203">
        <v>14</v>
      </c>
      <c r="E13" s="344"/>
      <c r="F13" s="204" t="s">
        <v>270</v>
      </c>
      <c r="G13" s="205">
        <v>44091</v>
      </c>
      <c r="H13" s="261">
        <v>44092</v>
      </c>
      <c r="I13" s="205"/>
      <c r="J13" s="261"/>
      <c r="K13" s="206"/>
      <c r="L13" s="262"/>
      <c r="M13" s="207"/>
      <c r="N13" s="208"/>
      <c r="O13" s="209">
        <v>13</v>
      </c>
      <c r="P13" s="210"/>
      <c r="Q13" s="211">
        <v>2</v>
      </c>
      <c r="R13" s="263">
        <v>59</v>
      </c>
      <c r="S13" s="212"/>
      <c r="T13" s="213"/>
      <c r="U13" s="214"/>
      <c r="V13" s="215"/>
      <c r="W13" s="215"/>
      <c r="X13" s="215"/>
      <c r="Y13" s="216"/>
      <c r="Z13" s="217"/>
      <c r="AA13" s="215"/>
      <c r="AB13" s="215"/>
      <c r="AC13" s="215"/>
      <c r="AD13" s="215"/>
      <c r="AE13" s="215"/>
      <c r="AF13" s="216"/>
      <c r="AG13" s="217"/>
      <c r="AH13" s="215"/>
      <c r="AI13" s="215"/>
      <c r="AJ13" s="215"/>
      <c r="AK13" s="215"/>
      <c r="AL13" s="215"/>
      <c r="AM13" s="216"/>
      <c r="AN13" s="217"/>
      <c r="AO13" s="217"/>
      <c r="AP13" s="217"/>
      <c r="AQ13" s="215"/>
      <c r="AR13" s="215"/>
      <c r="AS13" s="215"/>
      <c r="AT13" s="216"/>
      <c r="AU13" s="217"/>
      <c r="AV13" s="215"/>
      <c r="AW13" s="215"/>
      <c r="AX13" s="215"/>
      <c r="AY13" s="218"/>
      <c r="AZ13" s="215"/>
      <c r="BA13" s="216"/>
      <c r="BB13" s="217"/>
      <c r="BC13" s="215"/>
      <c r="BD13" s="215"/>
      <c r="BE13" s="215"/>
      <c r="BF13" s="215"/>
      <c r="BG13" s="215"/>
      <c r="BH13" s="216"/>
      <c r="BI13" s="217"/>
      <c r="BJ13" s="217"/>
      <c r="BK13" s="215"/>
      <c r="BL13" s="215"/>
      <c r="BM13" s="215"/>
      <c r="BN13" s="215"/>
      <c r="BO13" s="216"/>
      <c r="BP13" s="217"/>
      <c r="BQ13" s="215"/>
      <c r="BR13" s="215"/>
      <c r="BS13" s="215"/>
      <c r="BT13" s="215"/>
      <c r="BU13" s="215"/>
      <c r="BV13" s="216"/>
      <c r="BW13" s="217"/>
      <c r="BX13" s="215"/>
      <c r="BY13" s="215"/>
      <c r="BZ13" s="215"/>
      <c r="CA13" s="215"/>
      <c r="CB13" s="264"/>
    </row>
    <row r="14" spans="1:80" s="28" customFormat="1" ht="20.100000000000001" customHeight="1" thickTop="1">
      <c r="A14" s="236">
        <v>9</v>
      </c>
      <c r="B14" s="236">
        <v>1</v>
      </c>
      <c r="C14" s="236" t="s">
        <v>268</v>
      </c>
      <c r="D14" s="236">
        <v>11</v>
      </c>
      <c r="E14" s="342" t="s">
        <v>120</v>
      </c>
      <c r="F14" s="237" t="s">
        <v>267</v>
      </c>
      <c r="G14" s="238">
        <v>44084</v>
      </c>
      <c r="H14" s="265">
        <v>44088</v>
      </c>
      <c r="I14" s="238"/>
      <c r="J14" s="265"/>
      <c r="K14" s="239"/>
      <c r="L14" s="266"/>
      <c r="M14" s="240">
        <v>10</v>
      </c>
      <c r="N14" s="241"/>
      <c r="O14" s="242">
        <v>13</v>
      </c>
      <c r="P14" s="243"/>
      <c r="Q14" s="244"/>
      <c r="R14" s="267"/>
      <c r="S14" s="245"/>
      <c r="T14" s="246"/>
      <c r="U14" s="247"/>
      <c r="V14" s="248"/>
      <c r="W14" s="248"/>
      <c r="X14" s="248"/>
      <c r="Y14" s="249"/>
      <c r="Z14" s="250"/>
      <c r="AA14" s="248"/>
      <c r="AB14" s="248"/>
      <c r="AC14" s="248"/>
      <c r="AD14" s="248"/>
      <c r="AE14" s="248"/>
      <c r="AF14" s="249"/>
      <c r="AG14" s="250"/>
      <c r="AH14" s="248"/>
      <c r="AI14" s="248"/>
      <c r="AJ14" s="248"/>
      <c r="AK14" s="248"/>
      <c r="AL14" s="248"/>
      <c r="AM14" s="249"/>
      <c r="AN14" s="250"/>
      <c r="AO14" s="250"/>
      <c r="AP14" s="250"/>
      <c r="AQ14" s="248"/>
      <c r="AR14" s="248"/>
      <c r="AS14" s="248"/>
      <c r="AT14" s="249"/>
      <c r="AU14" s="250"/>
      <c r="AV14" s="248"/>
      <c r="AW14" s="248"/>
      <c r="AX14" s="248"/>
      <c r="AY14" s="251"/>
      <c r="AZ14" s="248"/>
      <c r="BA14" s="249"/>
      <c r="BB14" s="250"/>
      <c r="BC14" s="248"/>
      <c r="BD14" s="248"/>
      <c r="BE14" s="248"/>
      <c r="BF14" s="248"/>
      <c r="BG14" s="248"/>
      <c r="BH14" s="249"/>
      <c r="BI14" s="250"/>
      <c r="BJ14" s="250"/>
      <c r="BK14" s="248"/>
      <c r="BL14" s="248"/>
      <c r="BM14" s="248"/>
      <c r="BN14" s="248"/>
      <c r="BO14" s="249"/>
      <c r="BP14" s="250"/>
      <c r="BQ14" s="248"/>
      <c r="BR14" s="248"/>
      <c r="BS14" s="248"/>
      <c r="BT14" s="248"/>
      <c r="BU14" s="248"/>
      <c r="BV14" s="249"/>
      <c r="BW14" s="250"/>
      <c r="BX14" s="248"/>
      <c r="BY14" s="248"/>
      <c r="BZ14" s="248"/>
      <c r="CA14" s="248"/>
      <c r="CB14" s="268"/>
    </row>
    <row r="15" spans="1:80" s="28" customFormat="1" ht="20.100000000000001" customHeight="1" thickBot="1">
      <c r="A15" s="203">
        <v>13</v>
      </c>
      <c r="B15" s="203">
        <v>1</v>
      </c>
      <c r="C15" s="203" t="s">
        <v>268</v>
      </c>
      <c r="D15" s="203">
        <v>18</v>
      </c>
      <c r="E15" s="344"/>
      <c r="F15" s="204" t="s">
        <v>271</v>
      </c>
      <c r="G15" s="205">
        <v>44089</v>
      </c>
      <c r="H15" s="261">
        <v>44092</v>
      </c>
      <c r="I15" s="205"/>
      <c r="J15" s="261"/>
      <c r="K15" s="206"/>
      <c r="L15" s="262"/>
      <c r="M15" s="207"/>
      <c r="N15" s="208"/>
      <c r="O15" s="209">
        <v>20</v>
      </c>
      <c r="P15" s="210"/>
      <c r="Q15" s="211"/>
      <c r="R15" s="263"/>
      <c r="S15" s="212"/>
      <c r="T15" s="213"/>
      <c r="U15" s="214"/>
      <c r="V15" s="215"/>
      <c r="W15" s="215"/>
      <c r="X15" s="215"/>
      <c r="Y15" s="216"/>
      <c r="Z15" s="217"/>
      <c r="AA15" s="215"/>
      <c r="AB15" s="215"/>
      <c r="AC15" s="215"/>
      <c r="AD15" s="215"/>
      <c r="AE15" s="215"/>
      <c r="AF15" s="216"/>
      <c r="AG15" s="217"/>
      <c r="AH15" s="215"/>
      <c r="AI15" s="215"/>
      <c r="AJ15" s="215"/>
      <c r="AK15" s="215"/>
      <c r="AL15" s="215"/>
      <c r="AM15" s="216"/>
      <c r="AN15" s="217"/>
      <c r="AO15" s="217"/>
      <c r="AP15" s="217"/>
      <c r="AQ15" s="215"/>
      <c r="AR15" s="215"/>
      <c r="AS15" s="215"/>
      <c r="AT15" s="216"/>
      <c r="AU15" s="217"/>
      <c r="AV15" s="215"/>
      <c r="AW15" s="215"/>
      <c r="AX15" s="215"/>
      <c r="AY15" s="218"/>
      <c r="AZ15" s="215"/>
      <c r="BA15" s="216"/>
      <c r="BB15" s="217"/>
      <c r="BC15" s="215"/>
      <c r="BD15" s="215"/>
      <c r="BE15" s="215"/>
      <c r="BF15" s="215"/>
      <c r="BG15" s="215"/>
      <c r="BH15" s="216"/>
      <c r="BI15" s="217"/>
      <c r="BJ15" s="217"/>
      <c r="BK15" s="215"/>
      <c r="BL15" s="215"/>
      <c r="BM15" s="215"/>
      <c r="BN15" s="215"/>
      <c r="BO15" s="216"/>
      <c r="BP15" s="217"/>
      <c r="BQ15" s="215"/>
      <c r="BR15" s="215"/>
      <c r="BS15" s="215"/>
      <c r="BT15" s="215"/>
      <c r="BU15" s="215"/>
      <c r="BV15" s="216"/>
      <c r="BW15" s="217"/>
      <c r="BX15" s="215"/>
      <c r="BY15" s="215"/>
      <c r="BZ15" s="215"/>
      <c r="CA15" s="215"/>
      <c r="CB15" s="264"/>
    </row>
    <row r="16" spans="1:80" s="28" customFormat="1" ht="20.100000000000001" customHeight="1" thickTop="1" thickBot="1">
      <c r="A16" s="219">
        <v>9</v>
      </c>
      <c r="B16" s="219">
        <v>1</v>
      </c>
      <c r="C16" s="219" t="s">
        <v>268</v>
      </c>
      <c r="D16" s="219">
        <v>12</v>
      </c>
      <c r="E16" s="220" t="s">
        <v>131</v>
      </c>
      <c r="F16" s="221" t="s">
        <v>267</v>
      </c>
      <c r="G16" s="222">
        <v>44084</v>
      </c>
      <c r="H16" s="269">
        <v>44088</v>
      </c>
      <c r="I16" s="222"/>
      <c r="J16" s="269"/>
      <c r="K16" s="223"/>
      <c r="L16" s="270"/>
      <c r="M16" s="224">
        <v>80</v>
      </c>
      <c r="N16" s="225"/>
      <c r="O16" s="226">
        <v>13</v>
      </c>
      <c r="P16" s="227"/>
      <c r="Q16" s="228"/>
      <c r="R16" s="271"/>
      <c r="S16" s="229"/>
      <c r="T16" s="230"/>
      <c r="U16" s="231"/>
      <c r="V16" s="232"/>
      <c r="W16" s="232"/>
      <c r="X16" s="232"/>
      <c r="Y16" s="233"/>
      <c r="Z16" s="234"/>
      <c r="AA16" s="232"/>
      <c r="AB16" s="232"/>
      <c r="AC16" s="232"/>
      <c r="AD16" s="232"/>
      <c r="AE16" s="232"/>
      <c r="AF16" s="233"/>
      <c r="AG16" s="234"/>
      <c r="AH16" s="232"/>
      <c r="AI16" s="232"/>
      <c r="AJ16" s="232"/>
      <c r="AK16" s="232"/>
      <c r="AL16" s="232"/>
      <c r="AM16" s="233"/>
      <c r="AN16" s="234"/>
      <c r="AO16" s="234"/>
      <c r="AP16" s="234"/>
      <c r="AQ16" s="232"/>
      <c r="AR16" s="232"/>
      <c r="AS16" s="232"/>
      <c r="AT16" s="233"/>
      <c r="AU16" s="234"/>
      <c r="AV16" s="232"/>
      <c r="AW16" s="232"/>
      <c r="AX16" s="232"/>
      <c r="AY16" s="235"/>
      <c r="AZ16" s="232"/>
      <c r="BA16" s="233"/>
      <c r="BB16" s="234"/>
      <c r="BC16" s="232"/>
      <c r="BD16" s="232"/>
      <c r="BE16" s="232"/>
      <c r="BF16" s="232"/>
      <c r="BG16" s="232"/>
      <c r="BH16" s="233"/>
      <c r="BI16" s="234"/>
      <c r="BJ16" s="234"/>
      <c r="BK16" s="232"/>
      <c r="BL16" s="232"/>
      <c r="BM16" s="232"/>
      <c r="BN16" s="232"/>
      <c r="BO16" s="233"/>
      <c r="BP16" s="234"/>
      <c r="BQ16" s="232"/>
      <c r="BR16" s="232"/>
      <c r="BS16" s="232"/>
      <c r="BT16" s="232"/>
      <c r="BU16" s="232"/>
      <c r="BV16" s="233"/>
      <c r="BW16" s="234"/>
      <c r="BX16" s="232"/>
      <c r="BY16" s="232"/>
      <c r="BZ16" s="232"/>
      <c r="CA16" s="232"/>
      <c r="CB16" s="272"/>
    </row>
    <row r="17" spans="1:80" s="28" customFormat="1" ht="20.100000000000001" customHeight="1" thickTop="1" thickBot="1">
      <c r="A17" s="219">
        <v>15</v>
      </c>
      <c r="B17" s="219">
        <v>1</v>
      </c>
      <c r="C17" s="219"/>
      <c r="D17" s="219">
        <v>20</v>
      </c>
      <c r="E17" s="220" t="s">
        <v>126</v>
      </c>
      <c r="F17" s="221" t="s">
        <v>273</v>
      </c>
      <c r="G17" s="222">
        <v>44097</v>
      </c>
      <c r="H17" s="269">
        <v>44098</v>
      </c>
      <c r="I17" s="222"/>
      <c r="J17" s="269"/>
      <c r="K17" s="223"/>
      <c r="L17" s="270"/>
      <c r="M17" s="224"/>
      <c r="N17" s="225"/>
      <c r="O17" s="226">
        <v>20</v>
      </c>
      <c r="P17" s="227"/>
      <c r="Q17" s="228">
        <v>2</v>
      </c>
      <c r="R17" s="271">
        <v>55</v>
      </c>
      <c r="S17" s="229"/>
      <c r="T17" s="230"/>
      <c r="U17" s="231"/>
      <c r="V17" s="232"/>
      <c r="W17" s="232"/>
      <c r="X17" s="232"/>
      <c r="Y17" s="233"/>
      <c r="Z17" s="234"/>
      <c r="AA17" s="232"/>
      <c r="AB17" s="232"/>
      <c r="AC17" s="232"/>
      <c r="AD17" s="232"/>
      <c r="AE17" s="232"/>
      <c r="AF17" s="233"/>
      <c r="AG17" s="234"/>
      <c r="AH17" s="232"/>
      <c r="AI17" s="232"/>
      <c r="AJ17" s="232"/>
      <c r="AK17" s="232"/>
      <c r="AL17" s="232"/>
      <c r="AM17" s="233"/>
      <c r="AN17" s="234"/>
      <c r="AO17" s="234"/>
      <c r="AP17" s="234"/>
      <c r="AQ17" s="232"/>
      <c r="AR17" s="232"/>
      <c r="AS17" s="232"/>
      <c r="AT17" s="233"/>
      <c r="AU17" s="234"/>
      <c r="AV17" s="232"/>
      <c r="AW17" s="232"/>
      <c r="AX17" s="232"/>
      <c r="AY17" s="235"/>
      <c r="AZ17" s="232"/>
      <c r="BA17" s="233"/>
      <c r="BB17" s="234"/>
      <c r="BC17" s="232"/>
      <c r="BD17" s="232"/>
      <c r="BE17" s="232"/>
      <c r="BF17" s="232"/>
      <c r="BG17" s="232"/>
      <c r="BH17" s="233"/>
      <c r="BI17" s="234"/>
      <c r="BJ17" s="234"/>
      <c r="BK17" s="232"/>
      <c r="BL17" s="232"/>
      <c r="BM17" s="232"/>
      <c r="BN17" s="232"/>
      <c r="BO17" s="233"/>
      <c r="BP17" s="234"/>
      <c r="BQ17" s="232"/>
      <c r="BR17" s="232"/>
      <c r="BS17" s="232"/>
      <c r="BT17" s="232"/>
      <c r="BU17" s="232"/>
      <c r="BV17" s="233"/>
      <c r="BW17" s="234"/>
      <c r="BX17" s="232"/>
      <c r="BY17" s="232"/>
      <c r="BZ17" s="232"/>
      <c r="CA17" s="232"/>
      <c r="CB17" s="272"/>
    </row>
    <row r="18" spans="1:80" ht="20.100000000000001" customHeight="1" thickTop="1"/>
  </sheetData>
  <sheetProtection formatColumns="0" formatRows="0" autoFilter="0"/>
  <mergeCells count="17">
    <mergeCell ref="C2:C3"/>
    <mergeCell ref="E9:E11"/>
    <mergeCell ref="E12:E13"/>
    <mergeCell ref="E14:E15"/>
    <mergeCell ref="U3:AX3"/>
    <mergeCell ref="AY3:CB3"/>
    <mergeCell ref="E6:E8"/>
    <mergeCell ref="N2:N3"/>
    <mergeCell ref="S2:S3"/>
    <mergeCell ref="T2:T3"/>
    <mergeCell ref="A5:E5"/>
    <mergeCell ref="A2:A3"/>
    <mergeCell ref="B2:B3"/>
    <mergeCell ref="D2:D3"/>
    <mergeCell ref="M2:M3"/>
    <mergeCell ref="F2:F3"/>
    <mergeCell ref="E2:E3"/>
  </mergeCells>
  <phoneticPr fontId="22"/>
  <dataValidations count="4">
    <dataValidation imeMode="off" allowBlank="1" showInputMessage="1" showErrorMessage="1" sqref="D4 G4:T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7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getEnabled="ctl_Ribbon.getEnabled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&#13;&#10;スクロール" onAction="ctl_Ribbon.scrollTask" supertip="選択したタスクにスクロールします" imageMso="SelectedTaskGoTo"/>
          <button id="T_B015" size="large" label="タイムライン&#13;&#10;に追加" onAction="ctl_Ribbon.addTimeLine" supertip="選択したタスクをタイムラインに追加します" imageMso="AddExistingTasksToTimeline"/>
          <!-- <toggleButton id="T_B015" size="large" label="タイムライン&#xD;&#xA;に追加" onAction="ctl_Ribbon.addTimeLine" supertip="選択したタスクをタイムラインに追加します" imageMso="AddExistingTasksToTimeline" getPressed="getPressed" /> -->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プロジェクト管理" visible="true">
      <firstColumn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WBS/release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61</vt:i4>
      </vt:variant>
    </vt:vector>
  </HeadingPairs>
  <TitlesOfParts>
    <vt:vector size="65" baseType="lpstr">
      <vt:lpstr>Help</vt:lpstr>
      <vt:lpstr>Notice</vt:lpstr>
      <vt:lpstr>設定</vt:lpstr>
      <vt:lpstr>メイン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viewMode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Bumpei.Koizumi</cp:lastModifiedBy>
  <cp:lastPrinted>2020-09-01T05:35:14Z</cp:lastPrinted>
  <dcterms:created xsi:type="dcterms:W3CDTF">2020-07-29T06:35:44Z</dcterms:created>
  <dcterms:modified xsi:type="dcterms:W3CDTF">2020-12-08T08:07:34Z</dcterms:modified>
</cp:coreProperties>
</file>