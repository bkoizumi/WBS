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31200" windowWidth="28800" windowHeight="12345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definedNames>
    <definedName name="baseDay">設定!$B$8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設定!$B$53</definedName>
    <definedName name="cell_LevelInfo">設定!$B$52</definedName>
    <definedName name="cell_LineInfo">設定!$B$54</definedName>
    <definedName name="cell_ShortcutFuncName">設定!$B$14</definedName>
    <definedName name="cell_ShortcutKey">設定!$B$15</definedName>
    <definedName name="cell_TaskArea">設定!$B$55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設定!$B$28</definedName>
    <definedName name="debugMode">設定!$B$3</definedName>
    <definedName name="dispAllKey">設定!$I$10</definedName>
    <definedName name="endDay">設定!$B$7</definedName>
    <definedName name="filterKey">設定!$I$5</definedName>
    <definedName name="lineColor">設定!$B$25</definedName>
    <definedName name="lineColor_Achievement">設定!$B$30</definedName>
    <definedName name="lineColor_Lightning">設定!$B$31</definedName>
    <definedName name="lineColor_Plan">設定!$B$29</definedName>
    <definedName name="lineColor_TaskLevel1">設定!$B$32</definedName>
    <definedName name="lineColor_TaskLevel2">設定!$B$33</definedName>
    <definedName name="lineColor_TaskLevel3">設定!$B$34</definedName>
    <definedName name="lineColorFlg">設定!$B$23</definedName>
    <definedName name="makeGanttKey">設定!$I$8</definedName>
    <definedName name="optionKey">設定!$I$3</definedName>
    <definedName name="SaturdayColor">設定!$B$26</definedName>
    <definedName name="ScaleKey">設定!$I$12</definedName>
    <definedName name="setDispProgress100">設定!$B$24</definedName>
    <definedName name="setLightning">設定!$B$22</definedName>
    <definedName name="sheetRangeStartCell">設定!$B$5</definedName>
    <definedName name="startDay">設定!$B$6</definedName>
    <definedName name="SundayColor">設定!$B$27</definedName>
    <definedName name="taskCheckKey">設定!$I$7</definedName>
    <definedName name="taskControlKey">設定!$I$11</definedName>
    <definedName name="TaskInfoStr_Change">設定!$B$11</definedName>
    <definedName name="TaskInfoStr_Multi">設定!$B$10</definedName>
    <definedName name="TaskInfoStr_TimeLine">設定!$B$12</definedName>
    <definedName name="view_Achievement">設定!$B$38</definedName>
    <definedName name="view_Assign">設定!$B$36</definedName>
    <definedName name="view_LateOrEarly">設定!$B$43</definedName>
    <definedName name="view_LineInfo">設定!$B$45</definedName>
    <definedName name="view_Note">設定!$B$44</definedName>
    <definedName name="view_Plan">設定!$B$35</definedName>
    <definedName name="view_Progress">設定!$B$37</definedName>
    <definedName name="view_Task">設定!$B$39</definedName>
    <definedName name="view_TaskAllocation">設定!$B$41</definedName>
    <definedName name="view_TaskInfo">設定!$B$40</definedName>
    <definedName name="view_WorkLoad">設定!$B$42</definedName>
    <definedName name="viewGant_Assignor">設定!$B$47</definedName>
    <definedName name="viewGant_TaskName">設定!$B$46</definedName>
    <definedName name="viewMode">設定!$B$9</definedName>
    <definedName name="workMode">設定!$B$4</definedName>
    <definedName name="休日リスト">設定!$O$3:$O$4</definedName>
    <definedName name="担当者">設定!$K$3:$K$38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Q18" i="7"/>
  <c r="Q17" i="7"/>
  <c r="R16" i="7"/>
  <c r="Q16" i="7"/>
  <c r="Q15" i="7"/>
  <c r="Q14" i="7"/>
  <c r="Q13" i="7"/>
  <c r="R12" i="7"/>
  <c r="Q12" i="7"/>
  <c r="R11" i="7"/>
  <c r="Q11" i="7"/>
  <c r="R10" i="7"/>
  <c r="Q10" i="7"/>
  <c r="R9" i="7"/>
  <c r="Q9" i="7"/>
  <c r="R8" i="7"/>
  <c r="Q8" i="7"/>
  <c r="R7" i="7"/>
  <c r="Q7" i="7"/>
  <c r="R6" i="7"/>
  <c r="Q6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  <author>Bumpei.Koizumi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1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1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1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<sst xmlns="http://schemas.openxmlformats.org/spreadsheetml/2006/main" count="421" uniqueCount="334">
  <si>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</si>
  <si>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</si>
  <si>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</si>
  <si>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</si>
  <si>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</si>
  <si>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</si>
  <si>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</si>
  <si>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</si>
  <si>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</si>
  <si>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</si>
  <si>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</si>
  <si>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</si>
  <si>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</si>
  <si>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</si>
  <si>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</si>
  <si>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</si>
  <si>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</si>
  <si>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</si>
  <si>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</si>
  <si>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</si>
  <si>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</si>
  <si>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</si>
  <si>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</si>
  <si>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</si>
  <si>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</si>
  <si>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</si>
  <si>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</si>
  <si>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</si>
  <si>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</si>
  <si>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</si>
  <si>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</si>
  <si>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</si>
  <si>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</si>
  <si>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</si>
  <si>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</si>
  <si>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</si>
  <si>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</si>
  <si>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</si>
  <si>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</si>
  <si>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</si>
  <si>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</si>
  <si>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</si>
  <si>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</si>
  <si>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</si>
  <si>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</si>
  <si>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</si>
  <si>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</si>
  <si>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</si>
  <si>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</si>
  <si>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</si>
  <si>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</si>
  <si>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</si>
  <si>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</si>
  <si>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</si>
  <si>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</si>
  <si>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</si>
  <si>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</si>
  <si>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</si>
  <si>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</si>
  <si>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</si>
  <si>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</si>
  <si>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</si>
  <si>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</si>
  <si>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</si>
  <si>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</si>
  <si>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</si>
  <si>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</si>
  <si>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</si>
  <si>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</si>
  <si>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</si>
  <si>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</si>
  <si>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</si>
  <si>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</si>
  <si>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</si>
  <si>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</si>
  <si>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</si>
  <si>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</si>
  <si>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</si>
  <si>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</si>
  <si>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</si>
  <si>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</si>
  <si>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</si>
  <si>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</si>
  <si>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</si>
  <si>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</si>
  <si>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</si>
  <si>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</si>
  <si>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</si>
  <si>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</si>
  <si>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</si>
  <si>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</si>
  <si>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</si>
  <si>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先行タスク</t>
    <phoneticPr fontId="22"/>
  </si>
  <si>
    <t>endDay</t>
    <phoneticPr fontId="20"/>
  </si>
  <si>
    <t>baseDay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</si>
  <si>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</si>
  <si>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</si>
  <si>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</si>
  <si>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</si>
  <si>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</si>
  <si>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</si>
  <si>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</si>
  <si>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</si>
  <si>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</si>
  <si>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</si>
  <si>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</si>
  <si>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</si>
  <si>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</si>
  <si>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</si>
  <si>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</si>
  <si>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</si>
  <si>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</si>
  <si>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</si>
  <si>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</si>
  <si>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</si>
  <si>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</si>
  <si>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</si>
  <si>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</si>
  <si>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</si>
  <si>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</si>
  <si>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</si>
  <si>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</si>
  <si>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</si>
  <si>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</si>
  <si>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</si>
  <si>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</si>
  <si>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</si>
  <si>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</si>
  <si>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</si>
  <si>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</si>
  <si>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</si>
  <si>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</si>
  <si>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</si>
  <si>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</si>
  <si>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</si>
  <si>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</si>
  <si>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</si>
  <si>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</si>
  <si>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</si>
  <si>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</si>
  <si>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</si>
  <si>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</si>
  <si>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</si>
  <si>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</si>
  <si>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</si>
  <si>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</si>
  <si>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作成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</si>
  <si>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</si>
  <si>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</si>
  <si>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</si>
  <si>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</si>
  <si>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</si>
  <si>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</si>
  <si>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</si>
  <si>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</si>
  <si>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</si>
  <si>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</si>
  <si>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</si>
  <si>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</si>
  <si>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</si>
  <si>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</si>
  <si>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</si>
  <si>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</si>
  <si>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</si>
  <si>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</si>
  <si>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</si>
  <si>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</si>
  <si>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</si>
  <si>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</si>
  <si>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</si>
  <si>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</si>
  <si>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</si>
  <si>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</si>
  <si>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</si>
  <si>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</si>
  <si>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</si>
  <si>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</si>
  <si>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</si>
  <si>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</si>
  <si>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K</t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</si>
  <si>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</si>
  <si>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</si>
  <si>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</si>
  <si>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</si>
  <si>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</si>
  <si>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</si>
  <si>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</si>
  <si>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</si>
  <si>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</si>
  <si>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</si>
  <si>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</si>
  <si>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</si>
  <si>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</si>
  <si>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</si>
  <si>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</si>
  <si>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</si>
  <si>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</si>
  <si>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</si>
  <si>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</si>
  <si>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</si>
  <si>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</si>
  <si>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</si>
  <si>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</si>
  <si>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</si>
  <si>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</si>
  <si>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</si>
  <si>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  <phoneticPr fontId="9"/>
  </si>
  <si>
    <t>タスク_I</t>
    <phoneticPr fontId="9"/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</si>
  <si>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</si>
  <si>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</si>
  <si>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</si>
  <si>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</si>
  <si>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</si>
  <si>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</si>
  <si>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</si>
  <si>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</si>
  <si>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</si>
  <si>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</si>
  <si>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</si>
  <si>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</si>
  <si>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</si>
  <si>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</si>
  <si>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</si>
  <si>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</si>
  <si>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</si>
  <si>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</si>
  <si>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</si>
  <si>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</si>
  <si>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</si>
  <si>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</si>
  <si>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</si>
  <si>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</si>
  <si>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</si>
  <si>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</si>
  <si>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</si>
  <si>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</si>
  <si>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全画面表示</t>
    <rPh sb="0" eb="3">
      <t>ゼンガメン</t>
    </rPh>
    <rPh sb="3" eb="5">
      <t>hy</t>
    </rPh>
    <phoneticPr fontId="22"/>
  </si>
  <si>
    <t>タスクのレベルを1段階ずつ上げる</t>
    <phoneticPr fontId="22"/>
  </si>
  <si>
    <t>タスクのレベルを1段階ずつ下げる</t>
    <rPh sb="13" eb="14">
      <t>サ</t>
    </rPh>
    <phoneticPr fontId="22"/>
  </si>
  <si>
    <t>選択したタスクをリンク</t>
  </si>
  <si>
    <t>選択したタスクのリンク解除</t>
  </si>
  <si>
    <t>選択したタスクを25%完了とする</t>
  </si>
  <si>
    <t>選択したタスクを50%完了とする</t>
  </si>
  <si>
    <t>選択したタスクを75%完了とする</t>
  </si>
  <si>
    <t>選択したタスクを100%完了とする</t>
  </si>
  <si>
    <t xml:space="preserve">選択したタスクを0%完了とする </t>
    <phoneticPr fontId="22"/>
  </si>
  <si>
    <t>選択したタスクをタイムラインに追加</t>
    <phoneticPr fontId="22"/>
  </si>
  <si>
    <t>選択したタスクにスクロール</t>
    <phoneticPr fontId="22"/>
  </si>
  <si>
    <t>Helpシートを表示</t>
    <rPh sb="8" eb="10">
      <t>ヒョウジ</t>
    </rPh>
    <phoneticPr fontId="26"/>
  </si>
  <si>
    <t>オプション設定画面を表示</t>
    <rPh sb="5" eb="7">
      <t>セッテイ</t>
    </rPh>
    <rPh sb="7" eb="9">
      <t>ガメン</t>
    </rPh>
    <rPh sb="10" eb="12">
      <t>ヒョウジ</t>
    </rPh>
    <phoneticPr fontId="22"/>
  </si>
  <si>
    <r>
      <t>予定日(開始)から遅早工数まで</t>
    </r>
    <r>
      <rPr>
        <sz val="10"/>
        <color theme="1"/>
        <rFont val="メイリオ"/>
        <family val="3"/>
        <charset val="128"/>
      </rPr>
      <t>列を並び替えた際に処理</t>
    </r>
    <rPh sb="15" eb="16">
      <t>レツ</t>
    </rPh>
    <rPh sb="17" eb="18">
      <t>ナラ</t>
    </rPh>
    <rPh sb="19" eb="20">
      <t>カ</t>
    </rPh>
    <rPh sb="22" eb="23">
      <t>サイ</t>
    </rPh>
    <rPh sb="24" eb="26">
      <t>ショリ</t>
    </rPh>
    <phoneticPr fontId="22"/>
  </si>
  <si>
    <t>カレンダー部分を生成</t>
    <rPh sb="5" eb="7">
      <t>ブブン</t>
    </rPh>
    <rPh sb="8" eb="10">
      <t>セイセイ</t>
    </rPh>
    <phoneticPr fontId="22"/>
  </si>
  <si>
    <t>ガントチャート</t>
    <phoneticPr fontId="22"/>
  </si>
  <si>
    <t>クリア</t>
    <phoneticPr fontId="22"/>
  </si>
  <si>
    <t>センター</t>
    <phoneticPr fontId="22"/>
  </si>
  <si>
    <t>生成</t>
    <rPh sb="0" eb="2">
      <t>セイセイ</t>
    </rPh>
    <phoneticPr fontId="22"/>
  </si>
  <si>
    <t>インポート</t>
    <phoneticPr fontId="22"/>
  </si>
  <si>
    <t>Excelファイル</t>
    <phoneticPr fontId="22"/>
  </si>
  <si>
    <t>CSVファイル</t>
    <phoneticPr fontId="22"/>
  </si>
  <si>
    <t>エクスポート</t>
    <phoneticPr fontId="22"/>
  </si>
  <si>
    <t>setLightning</t>
    <phoneticPr fontId="20"/>
  </si>
  <si>
    <t>workMode</t>
    <phoneticPr fontId="20"/>
  </si>
  <si>
    <t>viewMode</t>
    <phoneticPr fontId="20"/>
  </si>
  <si>
    <t>Normal</t>
    <phoneticPr fontId="20"/>
  </si>
  <si>
    <t>タスク_A</t>
  </si>
  <si>
    <t>タスク_E</t>
  </si>
  <si>
    <t>タスク_I</t>
  </si>
  <si>
    <t>デザイン制作_A、B、外A</t>
  </si>
  <si>
    <t>Mlt</t>
  </si>
  <si>
    <t>デザイン制作_E</t>
  </si>
  <si>
    <t>デザイン制作_I</t>
  </si>
  <si>
    <t>デザイン修正_A、B</t>
  </si>
  <si>
    <t>デザイン修正_E</t>
  </si>
  <si>
    <t>デザイン修正_H</t>
  </si>
  <si>
    <t>CD部</t>
  </si>
  <si>
    <t>cell_TaskArea</t>
  </si>
  <si>
    <t>E</t>
  </si>
  <si>
    <t>cell_PlanStart</t>
  </si>
  <si>
    <t>F</t>
  </si>
  <si>
    <t>cell_PlanEnd</t>
  </si>
  <si>
    <t>G</t>
  </si>
  <si>
    <t>H</t>
  </si>
  <si>
    <t>cell_AchievementStart</t>
  </si>
  <si>
    <t>I</t>
  </si>
  <si>
    <t>cell_AchievementEnd</t>
  </si>
  <si>
    <t>J</t>
  </si>
  <si>
    <t>cell_ProgressLast</t>
  </si>
  <si>
    <t>cell_Progress</t>
  </si>
  <si>
    <t>L</t>
  </si>
  <si>
    <t>cell_TaskAllocation</t>
  </si>
  <si>
    <t>M</t>
  </si>
  <si>
    <t>cell_Task</t>
  </si>
  <si>
    <t>N</t>
  </si>
  <si>
    <t>cell_TaskInfoP</t>
  </si>
  <si>
    <t>O</t>
  </si>
  <si>
    <t>cell_TaskInfoC</t>
  </si>
  <si>
    <t>P</t>
  </si>
  <si>
    <t>cell_WorkLoadP</t>
  </si>
  <si>
    <t>Q</t>
  </si>
  <si>
    <t>cell_WorkLoadA</t>
  </si>
  <si>
    <t>R</t>
  </si>
  <si>
    <t>cell_LateOrEarly</t>
  </si>
  <si>
    <t>S</t>
  </si>
  <si>
    <t>cell_Note</t>
  </si>
  <si>
    <t>T</t>
  </si>
  <si>
    <t>calendarStartCol</t>
  </si>
  <si>
    <t>U</t>
  </si>
  <si>
    <t>敬老の日</t>
  </si>
  <si>
    <t>秋分の日</t>
  </si>
  <si>
    <t>all</t>
  </si>
  <si>
    <t>CE</t>
    <phoneticPr fontId="20"/>
  </si>
  <si>
    <t>1-3．ショートカット</t>
    <phoneticPr fontId="26"/>
  </si>
  <si>
    <t>1-3．ショートカット</t>
    <phoneticPr fontId="22"/>
  </si>
  <si>
    <t>ExcelError：インデックスが有効範囲にありません。</t>
    <phoneticPr fontId="36"/>
  </si>
  <si>
    <t>ExcelError：型が一致しません。</t>
    <phoneticPr fontId="26"/>
  </si>
  <si>
    <t>ExcelError：オブジェクト変数または With ブロック変数が設定されていません。</t>
    <phoneticPr fontId="36"/>
  </si>
  <si>
    <t>ExcelError：アプリケーション定義またはオブジェクト定義のエラーです。</t>
    <rPh sb="19" eb="21">
      <t>テイギ</t>
    </rPh>
    <rPh sb="30" eb="32">
      <t>テイギ</t>
    </rPh>
    <phoneticPr fontId="26"/>
  </si>
  <si>
    <t>エラーが発生しました</t>
    <rPh sb="4" eb="6">
      <t>ハッセイ</t>
    </rPh>
    <phoneticPr fontId="36"/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</si>
  <si>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</si>
  <si>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</si>
  <si>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</si>
  <si>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</si>
  <si>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22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</si>
  <si>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</si>
  <si>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</si>
  <si>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</si>
  <si>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</si>
  <si>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インストールバージョンが一致しません</t>
    <rPh sb="12" eb="14">
      <t>イッチ</t>
    </rPh>
    <phoneticPr fontId="26"/>
  </si>
  <si>
    <t>インストールファイルが存在しません</t>
    <rPh sb="11" eb="13">
      <t>ソンザイ</t>
    </rPh>
    <phoneticPr fontId="26"/>
  </si>
  <si>
    <t>&lt;%%&gt;ファイルが存在しません</t>
  </si>
  <si>
    <t>&lt;%%&gt;シートが存在しません</t>
  </si>
  <si>
    <t>&lt;%%&gt;データが存在しません</t>
  </si>
  <si>
    <t>同名ファイル&lt;%%&gt;が開かれています</t>
  </si>
  <si>
    <t>ヘッダーの項目が異なります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</si>
</sst>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u/>
      <sz val="10"/>
      <color theme="11"/>
      <name val="メイリオ"/>
      <family val="3"/>
      <charset val="128"/>
    </font>
    <font>
      <sz val="9"/>
      <color indexed="81"/>
      <name val="MS P ゴシック"/>
      <family val="3"/>
      <charset val="128"/>
    </font>
    <font>
      <sz val="6"/>
      <name val="Meiryo UI"/>
      <family val="3"/>
      <charset val="128"/>
    </font>
  </fonts>
  <fills count="5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</fills>
  <borders count="7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57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  <xf numFmtId="0" fontId="34" fillId="0" borderId="0" applyNumberFormat="0" applyFill="0" applyBorder="0" applyAlignment="0" applyProtection="0">
      <alignment vertical="center"/>
      <protection locked="0"/>
    </xf>
    <xf numFmtId="0" fontId="33" fillId="0" borderId="0" applyNumberFormat="0" applyFill="0" applyBorder="0" applyAlignment="0" applyProtection="0">
      <alignment vertical="center"/>
      <protection locked="0"/>
    </xf>
  </cellStyleXfs>
  <cellXfs count="329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 applyAlignment="1">
      <alignment horizontal="left" vertical="center" wrapText="1"/>
      <protection locked="0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14" fontId="0" fillId="0" borderId="0" xfId="0" applyNumberFormat="1" applyFill="1" applyAlignment="1">
      <alignment wrapText="1"/>
      <protection locked="0"/>
    </xf>
    <xf numFmtId="0" fontId="0" fillId="0" borderId="27" xfId="0" applyNumberFormat="1" applyFill="1" applyBorder="1" applyAlignment="1" applyProtection="1">
      <alignment horizontal="center" vertical="center"/>
    </xf>
    <xf numFmtId="187" fontId="0" fillId="43" borderId="27" xfId="0" applyNumberFormat="1" applyFont="1" applyFill="1" applyBorder="1" applyAlignment="1" applyProtection="1">
      <alignment horizontal="centerContinuous" vertical="center" shrinkToFit="1"/>
    </xf>
    <xf numFmtId="187" fontId="0" fillId="43" borderId="28" xfId="0" applyNumberFormat="1" applyFont="1" applyFill="1" applyBorder="1" applyAlignment="1" applyProtection="1">
      <alignment horizontal="center" vertical="center" shrinkToFit="1"/>
    </xf>
    <xf numFmtId="187" fontId="0" fillId="0" borderId="28" xfId="0" applyNumberFormat="1" applyFill="1" applyBorder="1" applyAlignment="1" applyProtection="1">
      <alignment horizontal="center" vertical="center" wrapText="1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186" fontId="0" fillId="0" borderId="11" xfId="0" applyNumberFormat="1" applyFill="1" applyBorder="1" applyAlignment="1" applyProtection="1">
      <alignment horizontal="center" vertical="center"/>
    </xf>
    <xf numFmtId="0" fontId="0" fillId="0" borderId="27" xfId="0" applyBorder="1">
      <alignment vertical="center"/>
      <protection locked="0"/>
    </xf>
    <xf numFmtId="0" fontId="0" fillId="0" borderId="27" xfId="0" applyBorder="1" applyAlignment="1">
      <alignment horizontal="center" vertical="center"/>
      <protection locked="0"/>
    </xf>
    <xf numFmtId="0" fontId="0" fillId="0" borderId="0" xfId="0" applyNumberFormat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31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0" xfId="0" applyFont="1" applyProtection="1">
      <alignment vertical="center"/>
    </xf>
    <xf numFmtId="0" fontId="0" fillId="0" borderId="33" xfId="0" applyBorder="1">
      <alignment vertical="center"/>
      <protection locked="0"/>
    </xf>
    <xf numFmtId="0" fontId="28" fillId="0" borderId="34" xfId="0" applyFont="1" applyFill="1" applyBorder="1">
      <alignment vertical="center"/>
      <protection locked="0"/>
    </xf>
    <xf numFmtId="0" fontId="28" fillId="0" borderId="35" xfId="0" applyFont="1" applyFill="1" applyBorder="1">
      <alignment vertical="center"/>
      <protection locked="0"/>
    </xf>
    <xf numFmtId="0" fontId="28" fillId="0" borderId="36" xfId="0" applyFont="1" applyFill="1" applyBorder="1">
      <alignment vertical="center"/>
      <protection locked="0"/>
    </xf>
    <xf numFmtId="0" fontId="28" fillId="0" borderId="30" xfId="0" applyFont="1" applyFill="1" applyBorder="1">
      <alignment vertical="center"/>
      <protection locked="0"/>
    </xf>
    <xf numFmtId="0" fontId="28" fillId="0" borderId="33" xfId="0" applyFont="1" applyFill="1" applyBorder="1">
      <alignment vertical="center"/>
      <protection locked="0"/>
    </xf>
    <xf numFmtId="0" fontId="0" fillId="0" borderId="34" xfId="0" applyBorder="1">
      <alignment vertical="center"/>
      <protection locked="0"/>
    </xf>
    <xf numFmtId="0" fontId="28" fillId="0" borderId="37" xfId="0" applyFont="1" applyFill="1" applyBorder="1">
      <alignment vertical="center"/>
      <protection locked="0"/>
    </xf>
    <xf numFmtId="0" fontId="0" fillId="0" borderId="34" xfId="0" applyFont="1" applyFill="1" applyBorder="1" applyProtection="1">
      <alignment vertical="center"/>
    </xf>
    <xf numFmtId="0" fontId="0" fillId="0" borderId="38" xfId="0" applyFont="1" applyFill="1" applyBorder="1" applyProtection="1">
      <alignment vertical="center"/>
    </xf>
    <xf numFmtId="0" fontId="28" fillId="0" borderId="32" xfId="0" applyFont="1" applyFill="1" applyBorder="1" applyProtection="1">
      <alignment vertical="center"/>
    </xf>
    <xf numFmtId="0" fontId="28" fillId="0" borderId="39" xfId="0" applyFont="1" applyFill="1" applyBorder="1" applyProtection="1">
      <alignment vertical="center"/>
    </xf>
    <xf numFmtId="0" fontId="28" fillId="0" borderId="40" xfId="0" applyFont="1" applyFill="1" applyBorder="1" applyProtection="1">
      <alignment vertical="center"/>
    </xf>
    <xf numFmtId="0" fontId="28" fillId="0" borderId="34" xfId="0" applyFont="1" applyFill="1" applyBorder="1" applyProtection="1">
      <alignment vertical="center"/>
    </xf>
    <xf numFmtId="0" fontId="0" fillId="0" borderId="34" xfId="0" applyFont="1" applyFill="1" applyBorder="1">
      <alignment vertical="center"/>
      <protection locked="0"/>
    </xf>
    <xf numFmtId="0" fontId="28" fillId="0" borderId="39" xfId="0" applyFont="1" applyFill="1" applyBorder="1">
      <alignment vertical="center"/>
      <protection locked="0"/>
    </xf>
    <xf numFmtId="0" fontId="0" fillId="0" borderId="3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32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0" fontId="0" fillId="45" borderId="40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28" fillId="0" borderId="40" xfId="0" applyFont="1" applyFill="1" applyBorder="1">
      <alignment vertical="center"/>
      <protection locked="0"/>
    </xf>
    <xf numFmtId="0" fontId="0" fillId="0" borderId="36" xfId="0" applyFont="1" applyFill="1" applyBorder="1">
      <alignment vertical="center"/>
      <protection locked="0"/>
    </xf>
    <xf numFmtId="0" fontId="0" fillId="0" borderId="10" xfId="0" applyFont="1" applyFill="1" applyBorder="1">
      <alignment vertical="center"/>
      <protection locked="0"/>
    </xf>
    <xf numFmtId="0" fontId="0" fillId="0" borderId="41" xfId="0" applyFill="1" applyBorder="1" applyAlignment="1">
      <alignment vertical="center" wrapText="1"/>
      <protection locked="0"/>
    </xf>
    <xf numFmtId="0" fontId="30" fillId="42" borderId="41" xfId="0" applyFont="1" applyFill="1" applyBorder="1" applyAlignment="1">
      <alignment horizontal="center" vertical="center" wrapText="1"/>
      <protection locked="0"/>
    </xf>
    <xf numFmtId="187" fontId="30" fillId="42" borderId="41" xfId="0" applyNumberFormat="1" applyFont="1" applyFill="1" applyBorder="1" applyAlignment="1">
      <alignment horizontal="center" vertical="center" wrapText="1"/>
      <protection locked="0"/>
    </xf>
    <xf numFmtId="3" fontId="0" fillId="0" borderId="41" xfId="0" applyNumberFormat="1" applyFill="1" applyBorder="1" applyAlignment="1">
      <alignment vertical="center" wrapText="1"/>
      <protection locked="0"/>
    </xf>
    <xf numFmtId="181" fontId="0" fillId="0" borderId="41" xfId="0" applyNumberFormat="1" applyBorder="1" applyAlignment="1">
      <alignment horizontal="center" vertical="center"/>
      <protection locked="0"/>
    </xf>
    <xf numFmtId="0" fontId="0" fillId="48" borderId="42" xfId="0" applyNumberFormat="1" applyFill="1" applyBorder="1" applyAlignment="1" applyProtection="1">
      <alignment vertical="center"/>
    </xf>
    <xf numFmtId="0" fontId="0" fillId="0" borderId="42" xfId="0" applyNumberFormat="1" applyBorder="1" applyAlignment="1">
      <alignment horizontal="center" vertical="center"/>
      <protection locked="0"/>
    </xf>
    <xf numFmtId="0" fontId="0" fillId="44" borderId="12" xfId="0" applyFill="1" applyBorder="1">
      <alignment vertical="center"/>
      <protection locked="0"/>
    </xf>
    <xf numFmtId="49" fontId="0" fillId="44" borderId="12" xfId="0" applyNumberFormat="1" applyFill="1" applyBorder="1" applyAlignment="1" applyProtection="1">
      <alignment horizontal="center" vertical="center"/>
    </xf>
    <xf numFmtId="0" fontId="0" fillId="44" borderId="27" xfId="0" applyFill="1" applyBorder="1">
      <alignment vertical="center"/>
      <protection locked="0"/>
    </xf>
    <xf numFmtId="0" fontId="0" fillId="44" borderId="22" xfId="0" applyFill="1" applyBorder="1" applyAlignment="1">
      <alignment horizontal="center" vertical="center"/>
      <protection locked="0"/>
    </xf>
    <xf numFmtId="181" fontId="0" fillId="44" borderId="22" xfId="0" applyNumberFormat="1" applyFill="1" applyBorder="1" applyAlignment="1">
      <alignment horizontal="center" vertical="center"/>
      <protection locked="0"/>
    </xf>
    <xf numFmtId="0" fontId="0" fillId="54" borderId="12" xfId="0" applyFill="1" applyBorder="1">
      <alignment vertical="center"/>
      <protection locked="0"/>
    </xf>
    <xf numFmtId="0" fontId="0" fillId="54" borderId="12" xfId="0" applyFill="1" applyBorder="1" applyAlignment="1">
      <alignment horizontal="center" vertical="center"/>
      <protection locked="0"/>
    </xf>
    <xf numFmtId="0" fontId="0" fillId="55" borderId="22" xfId="0" applyFill="1" applyBorder="1">
      <alignment vertical="center"/>
      <protection locked="0"/>
    </xf>
    <xf numFmtId="0" fontId="0" fillId="55" borderId="22" xfId="0" applyFill="1" applyBorder="1" applyAlignment="1">
      <alignment horizontal="center" vertical="center"/>
      <protection locked="0"/>
    </xf>
    <xf numFmtId="0" fontId="0" fillId="0" borderId="27" xfId="0" applyFill="1" applyBorder="1">
      <alignment vertical="center"/>
      <protection locked="0"/>
    </xf>
    <xf numFmtId="0" fontId="0" fillId="0" borderId="27" xfId="0" applyFill="1" applyBorder="1" applyAlignment="1">
      <alignment horizontal="center" vertical="center"/>
      <protection locked="0"/>
    </xf>
    <xf numFmtId="0" fontId="0" fillId="44" borderId="27" xfId="0" applyFill="1" applyBorder="1" applyAlignment="1">
      <alignment horizontal="center" vertical="center"/>
      <protection locked="0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0" xfId="0" applyNumberForma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center" vertical="center"/>
    </xf>
    <xf numFmtId="184" fontId="0" fillId="0" borderId="26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6" borderId="23" xfId="0" applyNumberFormat="1" applyFill="1" applyBorder="1" applyAlignment="1" applyProtection="1">
      <alignment horizontal="center" vertical="center"/>
    </xf>
    <xf numFmtId="184" fontId="0" fillId="57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/>
    </xf>
    <xf numFmtId="186" fontId="0" fillId="0" borderId="40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 shrinkToFit="1"/>
    </xf>
    <xf numFmtId="180" fontId="0" fillId="0" borderId="46" xfId="0" applyNumberFormat="1" applyFill="1" applyBorder="1" applyAlignment="1" applyProtection="1">
      <alignment horizontal="center" vertical="center"/>
    </xf>
    <xf numFmtId="182" fontId="0" fillId="0" borderId="46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/>
    </xf>
    <xf numFmtId="0" fontId="0" fillId="0" borderId="47" xfId="0" applyNumberFormat="1" applyFill="1" applyBorder="1" applyAlignment="1" applyProtection="1">
      <alignment horizontal="left" vertical="center"/>
    </xf>
    <xf numFmtId="0" fontId="0" fillId="0" borderId="48" xfId="0" applyNumberFormat="1" applyFill="1" applyBorder="1" applyAlignment="1" applyProtection="1">
      <alignment horizontal="center" vertical="center" wrapText="1"/>
    </xf>
    <xf numFmtId="49" fontId="0" fillId="0" borderId="49" xfId="0" applyNumberFormat="1" applyFill="1" applyBorder="1" applyAlignment="1" applyProtection="1">
      <alignment horizontal="center" vertical="center" wrapText="1"/>
    </xf>
    <xf numFmtId="187" fontId="0" fillId="0" borderId="49" xfId="0" applyNumberFormat="1" applyFill="1" applyBorder="1" applyAlignment="1" applyProtection="1">
      <alignment horizontal="center" vertical="center" wrapText="1"/>
    </xf>
    <xf numFmtId="186" fontId="0" fillId="0" borderId="47" xfId="0" applyNumberFormat="1" applyFill="1" applyBorder="1" applyAlignment="1" applyProtection="1">
      <alignment horizontal="center" vertical="center"/>
    </xf>
    <xf numFmtId="0" fontId="0" fillId="0" borderId="50" xfId="0" applyNumberFormat="1" applyFill="1" applyBorder="1" applyAlignment="1" applyProtection="1">
      <alignment vertical="center"/>
    </xf>
    <xf numFmtId="184" fontId="0" fillId="0" borderId="50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184" fontId="0" fillId="56" borderId="49" xfId="0" applyNumberFormat="1" applyFill="1" applyBorder="1" applyAlignment="1" applyProtection="1">
      <alignment horizontal="center" vertical="center"/>
    </xf>
    <xf numFmtId="184" fontId="0" fillId="57" borderId="49" xfId="0" applyNumberFormat="1" applyFill="1" applyBorder="1" applyAlignment="1" applyProtection="1">
      <alignment horizontal="center" vertical="center"/>
    </xf>
    <xf numFmtId="184" fontId="0" fillId="0" borderId="48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 shrinkToFit="1"/>
    </xf>
    <xf numFmtId="180" fontId="0" fillId="0" borderId="54" xfId="0" applyNumberFormat="1" applyFill="1" applyBorder="1" applyAlignment="1" applyProtection="1">
      <alignment horizontal="center" vertical="center"/>
    </xf>
    <xf numFmtId="182" fontId="0" fillId="0" borderId="54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/>
    </xf>
    <xf numFmtId="0" fontId="0" fillId="0" borderId="55" xfId="0" applyNumberFormat="1" applyFill="1" applyBorder="1" applyAlignment="1" applyProtection="1">
      <alignment horizontal="left" vertical="center"/>
    </xf>
    <xf numFmtId="0" fontId="0" fillId="0" borderId="53" xfId="0" applyNumberFormat="1" applyFill="1" applyBorder="1" applyAlignment="1" applyProtection="1">
      <alignment horizontal="center" vertical="center" wrapText="1"/>
    </xf>
    <xf numFmtId="49" fontId="0" fillId="0" borderId="56" xfId="0" applyNumberFormat="1" applyFill="1" applyBorder="1" applyAlignment="1" applyProtection="1">
      <alignment horizontal="center" vertical="center" wrapText="1"/>
    </xf>
    <xf numFmtId="187" fontId="0" fillId="0" borderId="56" xfId="0" applyNumberFormat="1" applyFill="1" applyBorder="1" applyAlignment="1" applyProtection="1">
      <alignment horizontal="center" vertical="center" wrapText="1"/>
    </xf>
    <xf numFmtId="186" fontId="0" fillId="0" borderId="55" xfId="0" applyNumberFormat="1" applyFill="1" applyBorder="1" applyAlignment="1" applyProtection="1">
      <alignment horizontal="center" vertical="center"/>
    </xf>
    <xf numFmtId="0" fontId="0" fillId="0" borderId="57" xfId="0" applyNumberFormat="1" applyFill="1" applyBorder="1" applyAlignment="1" applyProtection="1">
      <alignment vertical="center"/>
    </xf>
    <xf numFmtId="184" fontId="0" fillId="0" borderId="57" xfId="0" applyNumberFormat="1" applyFill="1" applyBorder="1" applyAlignment="1" applyProtection="1">
      <alignment horizontal="center" vertical="center"/>
    </xf>
    <xf numFmtId="184" fontId="0" fillId="0" borderId="56" xfId="0" applyNumberFormat="1" applyFill="1" applyBorder="1" applyAlignment="1" applyProtection="1">
      <alignment horizontal="center" vertical="center"/>
    </xf>
    <xf numFmtId="184" fontId="0" fillId="56" borderId="56" xfId="0" applyNumberFormat="1" applyFill="1" applyBorder="1" applyAlignment="1" applyProtection="1">
      <alignment horizontal="center" vertical="center"/>
    </xf>
    <xf numFmtId="184" fontId="0" fillId="57" borderId="56" xfId="0" applyNumberFormat="1" applyFill="1" applyBorder="1" applyAlignment="1" applyProtection="1">
      <alignment horizontal="center" vertical="center"/>
    </xf>
    <xf numFmtId="184" fontId="0" fillId="0" borderId="53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 shrinkToFit="1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/>
    </xf>
    <xf numFmtId="0" fontId="0" fillId="0" borderId="62" xfId="0" applyNumberFormat="1" applyFill="1" applyBorder="1" applyAlignment="1" applyProtection="1">
      <alignment horizontal="left" vertical="center"/>
    </xf>
    <xf numFmtId="0" fontId="0" fillId="0" borderId="63" xfId="0" applyNumberFormat="1" applyFill="1" applyBorder="1" applyAlignment="1" applyProtection="1">
      <alignment horizontal="center" vertical="center" wrapText="1"/>
    </xf>
    <xf numFmtId="49" fontId="0" fillId="0" borderId="64" xfId="0" applyNumberFormat="1" applyFill="1" applyBorder="1" applyAlignment="1" applyProtection="1">
      <alignment horizontal="center" vertical="center" wrapText="1"/>
    </xf>
    <xf numFmtId="187" fontId="0" fillId="0" borderId="64" xfId="0" applyNumberFormat="1" applyFill="1" applyBorder="1" applyAlignment="1" applyProtection="1">
      <alignment horizontal="center" vertical="center" wrapText="1"/>
    </xf>
    <xf numFmtId="186" fontId="0" fillId="0" borderId="62" xfId="0" applyNumberFormat="1" applyFill="1" applyBorder="1" applyAlignment="1" applyProtection="1">
      <alignment horizontal="center" vertical="center"/>
    </xf>
    <xf numFmtId="0" fontId="0" fillId="0" borderId="65" xfId="0" applyNumberFormat="1" applyFill="1" applyBorder="1" applyAlignment="1" applyProtection="1">
      <alignment vertical="center"/>
    </xf>
    <xf numFmtId="184" fontId="0" fillId="0" borderId="65" xfId="0" applyNumberFormat="1" applyFill="1" applyBorder="1" applyAlignment="1" applyProtection="1">
      <alignment horizontal="center" vertical="center"/>
    </xf>
    <xf numFmtId="184" fontId="0" fillId="0" borderId="64" xfId="0" applyNumberFormat="1" applyFill="1" applyBorder="1" applyAlignment="1" applyProtection="1">
      <alignment horizontal="center" vertical="center"/>
    </xf>
    <xf numFmtId="184" fontId="0" fillId="56" borderId="64" xfId="0" applyNumberFormat="1" applyFill="1" applyBorder="1" applyAlignment="1" applyProtection="1">
      <alignment horizontal="center" vertical="center"/>
    </xf>
    <xf numFmtId="184" fontId="0" fillId="57" borderId="64" xfId="0" applyNumberFormat="1" applyFill="1" applyBorder="1" applyAlignment="1" applyProtection="1">
      <alignment horizontal="center" vertical="center"/>
    </xf>
    <xf numFmtId="184" fontId="0" fillId="0" borderId="63" xfId="0" applyNumberFormat="1" applyFill="1" applyBorder="1" applyAlignment="1" applyProtection="1">
      <alignment horizontal="center" vertical="center"/>
    </xf>
    <xf numFmtId="0" fontId="0" fillId="48" borderId="29" xfId="0" applyNumberFormat="1" applyFill="1" applyBorder="1" applyAlignment="1" applyProtection="1">
      <alignment vertical="center"/>
    </xf>
    <xf numFmtId="0" fontId="0" fillId="45" borderId="10" xfId="0" applyNumberFormat="1" applyFill="1" applyBorder="1" applyAlignment="1" applyProtection="1">
      <alignment vertical="center" shrinkToFit="1"/>
    </xf>
    <xf numFmtId="184" fontId="0" fillId="0" borderId="70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 shrinkToFit="1"/>
    </xf>
    <xf numFmtId="180" fontId="0" fillId="0" borderId="68" xfId="0" applyNumberFormat="1" applyFill="1" applyBorder="1" applyAlignment="1" applyProtection="1">
      <alignment horizontal="center" vertical="center"/>
    </xf>
    <xf numFmtId="182" fontId="0" fillId="0" borderId="68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/>
    </xf>
    <xf numFmtId="187" fontId="0" fillId="0" borderId="68" xfId="0" applyNumberFormat="1" applyFill="1" applyBorder="1" applyAlignment="1" applyProtection="1">
      <alignment horizontal="center" vertical="center" wrapText="1"/>
    </xf>
    <xf numFmtId="180" fontId="0" fillId="0" borderId="51" xfId="0" applyNumberFormat="1" applyFill="1" applyBorder="1" applyAlignment="1" applyProtection="1">
      <alignment horizontal="center" vertical="center"/>
    </xf>
    <xf numFmtId="182" fontId="0" fillId="0" borderId="51" xfId="0" applyNumberFormat="1" applyFill="1" applyBorder="1" applyAlignment="1" applyProtection="1">
      <alignment horizontal="center" vertical="center"/>
    </xf>
    <xf numFmtId="187" fontId="0" fillId="0" borderId="51" xfId="0" applyNumberFormat="1" applyFill="1" applyBorder="1" applyAlignment="1" applyProtection="1">
      <alignment horizontal="center" vertical="center" wrapText="1"/>
    </xf>
    <xf numFmtId="184" fontId="0" fillId="0" borderId="71" xfId="0" applyNumberFormat="1" applyFill="1" applyBorder="1" applyAlignment="1" applyProtection="1">
      <alignment horizontal="center" vertical="center"/>
    </xf>
    <xf numFmtId="180" fontId="0" fillId="0" borderId="66" xfId="0" applyNumberFormat="1" applyFill="1" applyBorder="1" applyAlignment="1" applyProtection="1">
      <alignment horizontal="center" vertical="center"/>
    </xf>
    <xf numFmtId="182" fontId="0" fillId="0" borderId="66" xfId="0" applyNumberFormat="1" applyFill="1" applyBorder="1" applyAlignment="1" applyProtection="1">
      <alignment horizontal="center" vertical="center"/>
    </xf>
    <xf numFmtId="187" fontId="0" fillId="0" borderId="66" xfId="0" applyNumberFormat="1" applyFill="1" applyBorder="1" applyAlignment="1" applyProtection="1">
      <alignment horizontal="center" vertical="center" wrapText="1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19" fillId="0" borderId="0" xfId="0" applyFont="1" applyFill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6" applyFont="1" applyAlignment="1">
      <alignment horizontal="left" vertical="center" shrinkToFit="1"/>
      <protection locked="0"/>
    </xf>
    <xf numFmtId="0" fontId="29" fillId="0" borderId="0" xfId="56" applyFont="1" applyFill="1" applyAlignment="1">
      <alignment horizontal="left" vertical="center" indent="2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43" xfId="0" applyNumberFormat="1" applyFont="1" applyFill="1" applyBorder="1" applyAlignment="1">
      <alignment horizontal="center" vertical="center"/>
      <protection locked="0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0" fillId="0" borderId="59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40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69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186" fontId="0" fillId="43" borderId="29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42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43" borderId="38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0" fillId="0" borderId="74" xfId="0" applyFill="1" applyBorder="1" applyAlignment="1">
      <alignment vertical="center" wrapText="1"/>
      <protection locked="0"/>
    </xf>
    <xf numFmtId="0" fontId="0" fillId="33" borderId="75" xfId="0" applyFill="1" applyBorder="1">
      <alignment vertical="center"/>
      <protection locked="0"/>
    </xf>
    <xf numFmtId="0" fontId="0" fillId="34" borderId="75" xfId="0" applyFill="1" applyBorder="1">
      <alignment vertical="center"/>
      <protection locked="0"/>
    </xf>
    <xf numFmtId="0" fontId="0" fillId="35" borderId="75" xfId="0" applyFill="1" applyBorder="1">
      <alignment vertical="center"/>
      <protection locked="0"/>
    </xf>
    <xf numFmtId="0" fontId="0" fillId="36" borderId="75" xfId="0" applyFill="1" applyBorder="1">
      <alignment vertical="center"/>
      <protection locked="0"/>
    </xf>
    <xf numFmtId="0" fontId="0" fillId="49" borderId="75" xfId="0" applyFill="1" applyBorder="1">
      <alignment vertical="center"/>
      <protection locked="0"/>
    </xf>
    <xf numFmtId="0" fontId="0" fillId="50" borderId="75" xfId="0" applyFill="1" applyBorder="1">
      <alignment vertical="center"/>
      <protection locked="0"/>
    </xf>
    <xf numFmtId="0" fontId="0" fillId="51" borderId="75" xfId="0" applyFill="1" applyBorder="1">
      <alignment vertical="center"/>
      <protection locked="0"/>
    </xf>
    <xf numFmtId="0" fontId="0" fillId="52" borderId="75" xfId="0" applyFill="1" applyBorder="1">
      <alignment vertical="center"/>
      <protection locked="0"/>
    </xf>
    <xf numFmtId="0" fontId="0" fillId="37" borderId="75" xfId="0" applyFill="1" applyBorder="1">
      <alignment vertical="center"/>
      <protection locked="0"/>
    </xf>
    <xf numFmtId="0" fontId="0" fillId="38" borderId="75" xfId="0" applyFill="1" applyBorder="1">
      <alignment vertical="center"/>
      <protection locked="0"/>
    </xf>
    <xf numFmtId="0" fontId="0" fillId="41" borderId="75" xfId="0" applyFill="1" applyBorder="1">
      <alignment vertical="center"/>
      <protection locked="0"/>
    </xf>
    <xf numFmtId="0" fontId="0" fillId="47" borderId="75" xfId="0" applyFill="1" applyBorder="1">
      <alignment vertical="center"/>
      <protection locked="0"/>
    </xf>
    <xf numFmtId="0" fontId="0" fillId="39" borderId="75" xfId="0" applyFill="1" applyBorder="1">
      <alignment vertical="center"/>
      <protection locked="0"/>
    </xf>
    <xf numFmtId="0" fontId="0" fillId="40" borderId="75" xfId="0" applyFill="1" applyBorder="1">
      <alignment vertical="center"/>
      <protection locked="0"/>
    </xf>
    <xf numFmtId="0" fontId="0" fillId="40" borderId="76" xfId="0" applyFill="1" applyBorder="1">
      <alignment vertical="center"/>
      <protection locked="0"/>
    </xf>
  </cellXfs>
  <cellStyles count="57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 hidden="1"/>
    <cellStyle name="ハイパーリンク" xfId="56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5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33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39</xdr:row>
      <xdr:rowOff>0</xdr:rowOff>
    </xdr:from>
    <xdr:to>
      <xdr:col>43</xdr:col>
      <xdr:colOff>9525</xdr:colOff>
      <xdr:row>43</xdr:row>
      <xdr:rowOff>78441</xdr:rowOff>
    </xdr:to>
    <xdr:pic>
      <xdr:nvPicPr>
        <xdr:cNvPr id="4" name="図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181"/>
        <a:stretch/>
      </xdr:blipFill>
      <xdr:spPr>
        <a:xfrm>
          <a:off x="276225" y="9658350"/>
          <a:ext cx="11610975" cy="1069041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77</xdr:row>
      <xdr:rowOff>0</xdr:rowOff>
    </xdr:from>
    <xdr:to>
      <xdr:col>3</xdr:col>
      <xdr:colOff>257120</xdr:colOff>
      <xdr:row>79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3</xdr:col>
      <xdr:colOff>186520</xdr:colOff>
      <xdr:row>83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11</xdr:col>
      <xdr:colOff>153256</xdr:colOff>
      <xdr:row>91</xdr:row>
      <xdr:rowOff>93343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23</xdr:col>
      <xdr:colOff>0</xdr:colOff>
      <xdr:row>6</xdr:row>
      <xdr:rowOff>0</xdr:rowOff>
    </xdr:to>
    <xdr:sp macro="beforeChangeShapes" textlink="">
      <xdr:nvSpPr>
        <xdr:cNvPr id="43" name="タスク_6"/>
        <xdr:cNvSpPr/>
      </xdr:nvSpPr>
      <xdr:spPr>
        <a:xfrm>
          <a:off x="16659225" y="14287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beforeChangeShapes" textlink="">
      <xdr:nvSpPr>
        <xdr:cNvPr id="44" name="タスク_7"/>
        <xdr:cNvSpPr/>
      </xdr:nvSpPr>
      <xdr:spPr>
        <a:xfrm>
          <a:off x="18564225" y="16764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38</xdr:col>
      <xdr:colOff>0</xdr:colOff>
      <xdr:row>8</xdr:row>
      <xdr:rowOff>0</xdr:rowOff>
    </xdr:to>
    <xdr:sp macro="beforeChangeShapes" textlink="">
      <xdr:nvSpPr>
        <xdr:cNvPr id="45" name="タスク_8"/>
        <xdr:cNvSpPr/>
      </xdr:nvSpPr>
      <xdr:spPr>
        <a:xfrm>
          <a:off x="19754850" y="19240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23</xdr:col>
      <xdr:colOff>0</xdr:colOff>
      <xdr:row>8</xdr:row>
      <xdr:rowOff>0</xdr:rowOff>
    </xdr:from>
    <xdr:to>
      <xdr:col>27</xdr:col>
      <xdr:colOff>0</xdr:colOff>
      <xdr:row>9</xdr:row>
      <xdr:rowOff>0</xdr:rowOff>
    </xdr:to>
    <xdr:sp macro="beforeChangeShapes" textlink="">
      <xdr:nvSpPr>
        <xdr:cNvPr id="46" name="タスク_9"/>
        <xdr:cNvSpPr/>
      </xdr:nvSpPr>
      <xdr:spPr>
        <a:xfrm>
          <a:off x="17135475" y="21717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9</xdr:row>
      <xdr:rowOff>0</xdr:rowOff>
    </xdr:from>
    <xdr:to>
      <xdr:col>36</xdr:col>
      <xdr:colOff>0</xdr:colOff>
      <xdr:row>10</xdr:row>
      <xdr:rowOff>0</xdr:rowOff>
    </xdr:to>
    <xdr:sp macro="beforeChangeShapes" textlink="">
      <xdr:nvSpPr>
        <xdr:cNvPr id="47" name="タスク_10"/>
        <xdr:cNvSpPr/>
      </xdr:nvSpPr>
      <xdr:spPr>
        <a:xfrm>
          <a:off x="19516725" y="241935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10</xdr:row>
      <xdr:rowOff>0</xdr:rowOff>
    </xdr:from>
    <xdr:to>
      <xdr:col>43</xdr:col>
      <xdr:colOff>0</xdr:colOff>
      <xdr:row>11</xdr:row>
      <xdr:rowOff>0</xdr:rowOff>
    </xdr:to>
    <xdr:sp macro="beforeChangeShapes" textlink="">
      <xdr:nvSpPr>
        <xdr:cNvPr id="48" name="タスク_11"/>
        <xdr:cNvSpPr/>
      </xdr:nvSpPr>
      <xdr:spPr>
        <a:xfrm>
          <a:off x="20231100" y="266700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45</xdr:col>
      <xdr:colOff>0</xdr:colOff>
      <xdr:row>12</xdr:row>
      <xdr:rowOff>0</xdr:rowOff>
    </xdr:to>
    <xdr:sp macro="beforeChangeShapes" textlink="">
      <xdr:nvSpPr>
        <xdr:cNvPr id="49" name="タスク_12"/>
        <xdr:cNvSpPr/>
      </xdr:nvSpPr>
      <xdr:spPr>
        <a:xfrm>
          <a:off x="17849850" y="2914650"/>
          <a:ext cx="452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12</xdr:row>
      <xdr:rowOff>0</xdr:rowOff>
    </xdr:from>
    <xdr:to>
      <xdr:col>38</xdr:col>
      <xdr:colOff>0</xdr:colOff>
      <xdr:row>13</xdr:row>
      <xdr:rowOff>0</xdr:rowOff>
    </xdr:to>
    <xdr:sp macro="beforeChangeShapes" textlink="">
      <xdr:nvSpPr>
        <xdr:cNvPr id="50" name="タスク_13"/>
        <xdr:cNvSpPr/>
      </xdr:nvSpPr>
      <xdr:spPr>
        <a:xfrm>
          <a:off x="20231100" y="31623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13</xdr:row>
      <xdr:rowOff>0</xdr:rowOff>
    </xdr:from>
    <xdr:to>
      <xdr:col>34</xdr:col>
      <xdr:colOff>0</xdr:colOff>
      <xdr:row>14</xdr:row>
      <xdr:rowOff>0</xdr:rowOff>
    </xdr:to>
    <xdr:sp macro="beforeChangeShapes" textlink="">
      <xdr:nvSpPr>
        <xdr:cNvPr id="51" name="タスク_14"/>
        <xdr:cNvSpPr/>
      </xdr:nvSpPr>
      <xdr:spPr>
        <a:xfrm>
          <a:off x="18564225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0</xdr:colOff>
      <xdr:row>14</xdr:row>
      <xdr:rowOff>0</xdr:rowOff>
    </xdr:from>
    <xdr:to>
      <xdr:col>38</xdr:col>
      <xdr:colOff>0</xdr:colOff>
      <xdr:row>15</xdr:row>
      <xdr:rowOff>0</xdr:rowOff>
    </xdr:to>
    <xdr:sp macro="beforeChangeShapes" textlink="">
      <xdr:nvSpPr>
        <xdr:cNvPr id="52" name="タスク_15"/>
        <xdr:cNvSpPr/>
      </xdr:nvSpPr>
      <xdr:spPr>
        <a:xfrm>
          <a:off x="19754850" y="36576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15</xdr:row>
      <xdr:rowOff>0</xdr:rowOff>
    </xdr:from>
    <xdr:to>
      <xdr:col>34</xdr:col>
      <xdr:colOff>0</xdr:colOff>
      <xdr:row>16</xdr:row>
      <xdr:rowOff>0</xdr:rowOff>
    </xdr:to>
    <xdr:sp macro="beforeChangeShapes" textlink="">
      <xdr:nvSpPr>
        <xdr:cNvPr id="53" name="タスク_16"/>
        <xdr:cNvSpPr/>
      </xdr:nvSpPr>
      <xdr:spPr>
        <a:xfrm>
          <a:off x="18564225" y="39052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16</xdr:row>
      <xdr:rowOff>0</xdr:rowOff>
    </xdr:from>
    <xdr:to>
      <xdr:col>44</xdr:col>
      <xdr:colOff>0</xdr:colOff>
      <xdr:row>17</xdr:row>
      <xdr:rowOff>0</xdr:rowOff>
    </xdr:to>
    <xdr:sp macro="beforeChangeShapes" textlink="">
      <xdr:nvSpPr>
        <xdr:cNvPr id="54" name="タスク_17"/>
        <xdr:cNvSpPr/>
      </xdr:nvSpPr>
      <xdr:spPr>
        <a:xfrm>
          <a:off x="21659850" y="41529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S106"/>
  <sheetViews>
    <sheetView showGridLines="0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77" t="s">
        <v>89</v>
      </c>
      <c r="C2" s="277"/>
      <c r="D2" s="277"/>
      <c r="E2" s="277"/>
      <c r="F2" s="277"/>
      <c r="G2" s="277"/>
      <c r="H2" s="277"/>
      <c r="I2" s="277"/>
      <c r="J2" s="277"/>
      <c r="K2" s="277"/>
      <c r="L2" s="277"/>
    </row>
    <row r="3" spans="2:12" ht="19.5" customHeight="1">
      <c r="B3" s="278" t="s">
        <v>90</v>
      </c>
      <c r="C3" s="278"/>
      <c r="D3" s="278"/>
      <c r="E3" s="278"/>
      <c r="F3" s="278"/>
      <c r="G3" s="278"/>
      <c r="H3" s="278"/>
      <c r="I3" s="278"/>
      <c r="J3" s="278"/>
      <c r="K3" s="278"/>
      <c r="L3" s="278"/>
    </row>
    <row r="4" spans="2:12" ht="19.5" customHeight="1">
      <c r="B4" s="278" t="s">
        <v>222</v>
      </c>
      <c r="C4" s="278"/>
      <c r="D4" s="278"/>
      <c r="E4" s="278"/>
      <c r="F4" s="278"/>
      <c r="G4" s="278"/>
      <c r="H4" s="278"/>
      <c r="I4" s="278"/>
      <c r="J4" s="278"/>
      <c r="K4" s="278"/>
      <c r="L4" s="278"/>
    </row>
    <row r="5" spans="2:12" ht="19.5" customHeight="1">
      <c r="B5" s="278" t="s">
        <v>312</v>
      </c>
      <c r="C5" s="278"/>
      <c r="D5" s="278"/>
      <c r="E5" s="278"/>
      <c r="F5" s="278"/>
      <c r="G5" s="278"/>
      <c r="H5" s="278"/>
      <c r="I5" s="278"/>
      <c r="J5" s="278"/>
      <c r="K5" s="278"/>
      <c r="L5" s="278"/>
    </row>
    <row r="6" spans="2:12" ht="19.5" customHeight="1"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</row>
    <row r="7" spans="2:12" ht="19.5" customHeight="1">
      <c r="B7" s="276"/>
      <c r="C7" s="276"/>
      <c r="D7" s="276"/>
      <c r="E7" s="276"/>
      <c r="F7" s="276"/>
      <c r="G7" s="276"/>
      <c r="H7" s="276"/>
      <c r="I7" s="276"/>
      <c r="J7" s="276"/>
      <c r="K7" s="276"/>
      <c r="L7" s="276"/>
    </row>
    <row r="8" spans="2:12" ht="19.5" customHeight="1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</row>
    <row r="9" spans="2:12" ht="19.5" customHeight="1"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</row>
    <row r="10" spans="2:12" ht="19.5" customHeight="1"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</row>
    <row r="11" spans="2:12" ht="19.5" customHeight="1">
      <c r="B11" s="136"/>
      <c r="C11" s="136"/>
      <c r="D11" s="136"/>
      <c r="E11" s="136"/>
      <c r="F11" s="136"/>
      <c r="G11" s="136"/>
      <c r="H11" s="136"/>
      <c r="I11" s="136"/>
      <c r="J11" s="136"/>
      <c r="K11" s="136"/>
      <c r="L11" s="136"/>
    </row>
    <row r="12" spans="2:12" ht="19.5" customHeight="1"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</row>
    <row r="37" spans="1:45" ht="19.5" customHeight="1">
      <c r="A37" s="7" t="s">
        <v>16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</row>
    <row r="38" spans="1:45" ht="19.5" customHeight="1" thickBot="1">
      <c r="A38" s="9" t="s">
        <v>15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</row>
    <row r="39" spans="1:45" ht="19.5" customHeight="1" thickTop="1">
      <c r="B39" s="6" t="s">
        <v>17</v>
      </c>
    </row>
    <row r="45" spans="1:45" ht="19.5" customHeight="1">
      <c r="B45" s="137" t="s">
        <v>210</v>
      </c>
      <c r="C45" s="138"/>
      <c r="D45" s="138"/>
      <c r="E45" s="138"/>
      <c r="F45" s="138"/>
      <c r="G45" s="138"/>
      <c r="H45" s="138"/>
      <c r="I45" s="138"/>
      <c r="J45" s="138"/>
      <c r="K45" s="138" t="s">
        <v>211</v>
      </c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9"/>
      <c r="X45" s="137" t="s">
        <v>210</v>
      </c>
      <c r="Y45" s="138"/>
      <c r="Z45" s="138"/>
      <c r="AA45" s="138"/>
      <c r="AB45" s="138"/>
      <c r="AC45" s="138"/>
      <c r="AD45" s="138"/>
      <c r="AE45" s="138"/>
      <c r="AF45" s="138"/>
      <c r="AG45" s="138" t="s">
        <v>211</v>
      </c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9"/>
    </row>
    <row r="46" spans="1:45" ht="19.5" customHeight="1">
      <c r="B46" s="155" t="s">
        <v>214</v>
      </c>
      <c r="C46" s="158"/>
      <c r="D46" s="158"/>
      <c r="E46" s="158"/>
      <c r="F46" s="158"/>
      <c r="G46" s="158"/>
      <c r="H46" s="158"/>
      <c r="I46" s="158"/>
      <c r="J46" s="158"/>
      <c r="K46" s="163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56"/>
      <c r="X46" s="173" t="s">
        <v>252</v>
      </c>
      <c r="Y46" s="165"/>
      <c r="Z46" s="165"/>
      <c r="AA46" s="165"/>
      <c r="AB46" s="165"/>
      <c r="AC46" s="149"/>
      <c r="AD46" s="149"/>
      <c r="AE46" s="149"/>
      <c r="AF46" s="149"/>
      <c r="AG46" s="164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6"/>
    </row>
    <row r="47" spans="1:45" ht="19.5" customHeight="1">
      <c r="B47" s="157"/>
      <c r="C47" s="159" t="s">
        <v>212</v>
      </c>
      <c r="D47" s="159"/>
      <c r="E47" s="159"/>
      <c r="F47" s="159"/>
      <c r="G47" s="159"/>
      <c r="H47" s="159"/>
      <c r="I47" s="159"/>
      <c r="J47" s="159"/>
      <c r="K47" s="167" t="s">
        <v>248</v>
      </c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56"/>
      <c r="X47" s="164"/>
      <c r="Y47" s="168" t="s">
        <v>253</v>
      </c>
      <c r="Z47" s="165"/>
      <c r="AA47" s="165"/>
      <c r="AB47" s="165"/>
      <c r="AC47" s="149"/>
      <c r="AD47" s="149"/>
      <c r="AE47" s="149"/>
      <c r="AF47" s="149"/>
      <c r="AG47" s="164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6"/>
    </row>
    <row r="48" spans="1:45" ht="19.5" customHeight="1">
      <c r="B48" s="157"/>
      <c r="C48" s="162" t="s">
        <v>215</v>
      </c>
      <c r="D48" s="159"/>
      <c r="E48" s="159"/>
      <c r="F48" s="159"/>
      <c r="G48" s="159"/>
      <c r="H48" s="159"/>
      <c r="I48" s="159"/>
      <c r="J48" s="159"/>
      <c r="K48" s="167" t="s">
        <v>249</v>
      </c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56"/>
      <c r="X48" s="164"/>
      <c r="Y48" s="168" t="s">
        <v>254</v>
      </c>
      <c r="Z48" s="165"/>
      <c r="AA48" s="165"/>
      <c r="AB48" s="165"/>
      <c r="AC48" s="149"/>
      <c r="AD48" s="149"/>
      <c r="AE48" s="149"/>
      <c r="AF48" s="149"/>
      <c r="AG48" s="164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6"/>
    </row>
    <row r="49" spans="2:44" ht="19.5" customHeight="1">
      <c r="B49" s="161"/>
      <c r="C49" s="153"/>
      <c r="D49" s="160" t="s">
        <v>224</v>
      </c>
      <c r="E49" s="147"/>
      <c r="F49" s="147"/>
      <c r="G49" s="147"/>
      <c r="H49" s="147"/>
      <c r="I49" s="147"/>
      <c r="J49" s="147"/>
      <c r="K49" s="173" t="s">
        <v>250</v>
      </c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6"/>
      <c r="X49" s="164"/>
      <c r="Y49" s="168" t="s">
        <v>255</v>
      </c>
      <c r="Z49" s="165"/>
      <c r="AA49" s="165"/>
      <c r="AB49" s="165"/>
      <c r="AC49" s="149"/>
      <c r="AD49" s="149"/>
      <c r="AE49" s="149"/>
      <c r="AF49" s="149"/>
      <c r="AG49" s="164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6"/>
    </row>
    <row r="50" spans="2:44" ht="19.5" customHeight="1">
      <c r="B50" s="161"/>
      <c r="C50" s="160" t="s">
        <v>225</v>
      </c>
      <c r="D50" s="147"/>
      <c r="E50" s="147"/>
      <c r="F50" s="147"/>
      <c r="G50" s="147"/>
      <c r="H50" s="147"/>
      <c r="I50" s="147"/>
      <c r="J50" s="147"/>
      <c r="K50" s="173" t="s">
        <v>251</v>
      </c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6"/>
      <c r="X50" s="173" t="s">
        <v>256</v>
      </c>
      <c r="Y50" s="165"/>
      <c r="Z50" s="165"/>
      <c r="AA50" s="165"/>
      <c r="AB50" s="165"/>
      <c r="AC50" s="149"/>
      <c r="AD50" s="149"/>
      <c r="AE50" s="149"/>
      <c r="AF50" s="149"/>
      <c r="AG50" s="164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6"/>
    </row>
    <row r="51" spans="2:44" ht="19.5" customHeight="1">
      <c r="B51" s="161"/>
      <c r="C51" s="162" t="s">
        <v>226</v>
      </c>
      <c r="D51" s="147"/>
      <c r="E51" s="147"/>
      <c r="F51" s="147"/>
      <c r="G51" s="147"/>
      <c r="H51" s="147"/>
      <c r="I51" s="147"/>
      <c r="J51" s="148"/>
      <c r="K51" s="164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6"/>
      <c r="X51" s="164"/>
      <c r="Y51" s="168" t="s">
        <v>257</v>
      </c>
      <c r="Z51" s="165"/>
      <c r="AA51" s="165"/>
      <c r="AB51" s="165"/>
      <c r="AC51" s="149"/>
      <c r="AD51" s="149"/>
      <c r="AE51" s="149"/>
      <c r="AF51" s="149"/>
      <c r="AG51" s="164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6"/>
    </row>
    <row r="52" spans="2:44" ht="19.5" customHeight="1">
      <c r="B52" s="150"/>
      <c r="C52" s="150"/>
      <c r="D52" s="154" t="s">
        <v>226</v>
      </c>
      <c r="E52" s="147"/>
      <c r="F52" s="147"/>
      <c r="G52" s="147"/>
      <c r="H52" s="147"/>
      <c r="I52" s="147"/>
      <c r="J52" s="148"/>
      <c r="K52" s="164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6"/>
      <c r="X52" s="164"/>
      <c r="Y52" s="168" t="s">
        <v>258</v>
      </c>
      <c r="Z52" s="165"/>
      <c r="AA52" s="165"/>
      <c r="AB52" s="165"/>
      <c r="AC52" s="149"/>
      <c r="AD52" s="149"/>
      <c r="AE52" s="149"/>
      <c r="AF52" s="149"/>
      <c r="AG52" s="164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6"/>
    </row>
    <row r="53" spans="2:44" ht="19.5" customHeight="1">
      <c r="B53" s="153"/>
      <c r="C53" s="153"/>
      <c r="D53" s="147" t="s">
        <v>227</v>
      </c>
      <c r="E53" s="147"/>
      <c r="F53" s="147"/>
      <c r="G53" s="152"/>
      <c r="H53" s="152"/>
      <c r="I53" s="152"/>
      <c r="J53" s="148"/>
      <c r="K53" s="164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6"/>
      <c r="X53" s="173" t="s">
        <v>259</v>
      </c>
      <c r="Y53" s="165"/>
      <c r="Z53" s="165"/>
      <c r="AA53" s="165"/>
      <c r="AB53" s="165"/>
      <c r="AC53" s="149"/>
      <c r="AD53" s="149"/>
      <c r="AE53" s="149"/>
      <c r="AF53" s="149"/>
      <c r="AG53" s="164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6"/>
    </row>
    <row r="54" spans="2:44" ht="19.5" customHeight="1">
      <c r="B54" s="151" t="s">
        <v>228</v>
      </c>
      <c r="C54" s="147"/>
      <c r="D54" s="147"/>
      <c r="E54" s="147"/>
      <c r="F54" s="147"/>
      <c r="G54" s="152"/>
      <c r="H54" s="152"/>
      <c r="I54" s="152"/>
      <c r="J54" s="147"/>
      <c r="K54" s="164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6"/>
      <c r="X54" s="164"/>
      <c r="Y54" s="168" t="s">
        <v>257</v>
      </c>
      <c r="Z54" s="165"/>
      <c r="AA54" s="165"/>
      <c r="AB54" s="165"/>
      <c r="AC54" s="149"/>
      <c r="AD54" s="149"/>
      <c r="AE54" s="149"/>
      <c r="AF54" s="149"/>
      <c r="AG54" s="164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6"/>
    </row>
    <row r="55" spans="2:44" ht="19.5" customHeight="1">
      <c r="B55" s="150"/>
      <c r="C55" s="160" t="s">
        <v>236</v>
      </c>
      <c r="D55" s="147"/>
      <c r="E55" s="147"/>
      <c r="F55" s="147"/>
      <c r="G55" s="152"/>
      <c r="H55" s="152"/>
      <c r="I55" s="152"/>
      <c r="J55" s="147"/>
      <c r="K55" s="164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6"/>
      <c r="X55" s="164"/>
      <c r="Y55" s="168" t="s">
        <v>258</v>
      </c>
      <c r="Z55" s="165"/>
      <c r="AA55" s="165"/>
      <c r="AB55" s="165"/>
      <c r="AC55" s="149"/>
      <c r="AD55" s="149"/>
      <c r="AE55" s="149"/>
      <c r="AF55" s="149"/>
      <c r="AG55" s="164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6"/>
    </row>
    <row r="56" spans="2:44" ht="19.5" customHeight="1">
      <c r="B56" s="150"/>
      <c r="C56" s="147" t="s">
        <v>229</v>
      </c>
      <c r="D56" s="147"/>
      <c r="E56" s="147"/>
      <c r="F56" s="147"/>
      <c r="G56" s="152"/>
      <c r="H56" s="152"/>
      <c r="I56" s="152"/>
      <c r="J56" s="147"/>
      <c r="K56" s="164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6"/>
      <c r="X56" s="164"/>
      <c r="Y56" s="165"/>
      <c r="Z56" s="165"/>
      <c r="AA56" s="165"/>
      <c r="AB56" s="165"/>
      <c r="AC56" s="149"/>
      <c r="AD56" s="149"/>
      <c r="AE56" s="149"/>
      <c r="AF56" s="149"/>
      <c r="AG56" s="164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6"/>
    </row>
    <row r="57" spans="2:44" ht="19.5" customHeight="1">
      <c r="B57" s="153"/>
      <c r="C57" s="147" t="s">
        <v>230</v>
      </c>
      <c r="D57" s="147"/>
      <c r="E57" s="147"/>
      <c r="F57" s="147"/>
      <c r="G57" s="147"/>
      <c r="H57" s="147"/>
      <c r="I57" s="147"/>
      <c r="J57" s="147"/>
      <c r="K57" s="163" t="s">
        <v>213</v>
      </c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6"/>
      <c r="X57" s="164"/>
      <c r="Y57" s="165"/>
      <c r="Z57" s="165"/>
      <c r="AA57" s="165"/>
      <c r="AB57" s="165"/>
      <c r="AC57" s="149"/>
      <c r="AD57" s="149"/>
      <c r="AE57" s="149"/>
      <c r="AF57" s="149"/>
      <c r="AG57" s="164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6"/>
    </row>
    <row r="58" spans="2:44" ht="19.5" customHeight="1">
      <c r="B58" s="146" t="s">
        <v>231</v>
      </c>
      <c r="C58" s="147"/>
      <c r="D58" s="147"/>
      <c r="E58" s="147"/>
      <c r="F58" s="147"/>
      <c r="G58" s="147"/>
      <c r="H58" s="147"/>
      <c r="I58" s="147"/>
      <c r="J58" s="147"/>
      <c r="K58" s="164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6"/>
      <c r="X58" s="164"/>
      <c r="Y58" s="165"/>
      <c r="Z58" s="165"/>
      <c r="AA58" s="165"/>
      <c r="AB58" s="165"/>
      <c r="AC58" s="149"/>
      <c r="AD58" s="149"/>
      <c r="AE58" s="149"/>
      <c r="AF58" s="149"/>
      <c r="AG58" s="164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6"/>
    </row>
    <row r="59" spans="2:44" ht="19.5" customHeight="1">
      <c r="B59" s="150"/>
      <c r="C59" s="147" t="s">
        <v>232</v>
      </c>
      <c r="D59" s="147"/>
      <c r="E59" s="147"/>
      <c r="F59" s="147"/>
      <c r="G59" s="147"/>
      <c r="H59" s="147"/>
      <c r="I59" s="147"/>
      <c r="J59" s="147"/>
      <c r="K59" s="164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6"/>
      <c r="X59" s="164"/>
      <c r="Y59" s="165"/>
      <c r="Z59" s="165"/>
      <c r="AA59" s="165"/>
      <c r="AB59" s="165"/>
      <c r="AC59" s="149"/>
      <c r="AD59" s="149"/>
      <c r="AE59" s="149"/>
      <c r="AF59" s="149"/>
      <c r="AG59" s="164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6"/>
    </row>
    <row r="60" spans="2:44" ht="19.5" customHeight="1">
      <c r="B60" s="150"/>
      <c r="C60" s="147" t="s">
        <v>233</v>
      </c>
      <c r="D60" s="147"/>
      <c r="E60" s="147"/>
      <c r="F60" s="147"/>
      <c r="G60" s="147"/>
      <c r="H60" s="147"/>
      <c r="I60" s="147"/>
      <c r="J60" s="147"/>
      <c r="K60" s="164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6"/>
      <c r="X60" s="164"/>
      <c r="Y60" s="165"/>
      <c r="Z60" s="165"/>
      <c r="AA60" s="165"/>
      <c r="AB60" s="165"/>
      <c r="AC60" s="149"/>
      <c r="AD60" s="149"/>
      <c r="AE60" s="149"/>
      <c r="AF60" s="149"/>
      <c r="AG60" s="164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6"/>
    </row>
    <row r="61" spans="2:44" ht="19.5" customHeight="1">
      <c r="B61" s="150"/>
      <c r="C61" s="147" t="s">
        <v>234</v>
      </c>
      <c r="D61" s="147"/>
      <c r="E61" s="147"/>
      <c r="F61" s="147"/>
      <c r="G61" s="147"/>
      <c r="H61" s="147"/>
      <c r="I61" s="147"/>
      <c r="J61" s="147"/>
      <c r="K61" s="164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6"/>
      <c r="X61" s="164"/>
      <c r="Y61" s="165"/>
      <c r="Z61" s="165"/>
      <c r="AA61" s="165"/>
      <c r="AB61" s="165"/>
      <c r="AC61" s="149"/>
      <c r="AD61" s="149"/>
      <c r="AE61" s="149"/>
      <c r="AF61" s="149"/>
      <c r="AG61" s="164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6"/>
    </row>
    <row r="62" spans="2:44" ht="19.5" customHeight="1">
      <c r="B62" s="150"/>
      <c r="C62" s="149" t="s">
        <v>235</v>
      </c>
      <c r="D62" s="149"/>
      <c r="E62" s="149"/>
      <c r="F62" s="149"/>
      <c r="G62" s="149"/>
      <c r="H62" s="149"/>
      <c r="I62" s="149"/>
      <c r="J62" s="149"/>
      <c r="K62" s="164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6"/>
      <c r="X62" s="164"/>
      <c r="Y62" s="165"/>
      <c r="Z62" s="165"/>
      <c r="AA62" s="165"/>
      <c r="AB62" s="165"/>
      <c r="AC62" s="149"/>
      <c r="AD62" s="149"/>
      <c r="AE62" s="149"/>
      <c r="AF62" s="149"/>
      <c r="AG62" s="164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6"/>
    </row>
    <row r="63" spans="2:44" ht="19.5" customHeight="1">
      <c r="B63" s="150"/>
      <c r="C63" s="172" t="s">
        <v>237</v>
      </c>
      <c r="D63" s="149"/>
      <c r="E63" s="149"/>
      <c r="F63" s="149"/>
      <c r="G63" s="149"/>
      <c r="H63" s="149"/>
      <c r="I63" s="149"/>
      <c r="J63" s="149"/>
      <c r="K63" s="164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6"/>
      <c r="X63" s="164"/>
      <c r="Y63" s="165"/>
      <c r="Z63" s="165"/>
      <c r="AA63" s="165"/>
      <c r="AB63" s="165"/>
      <c r="AC63" s="149"/>
      <c r="AD63" s="149"/>
      <c r="AE63" s="149"/>
      <c r="AF63" s="149"/>
      <c r="AG63" s="164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6"/>
    </row>
    <row r="64" spans="2:44" ht="19.5" customHeight="1">
      <c r="B64" s="150"/>
      <c r="C64" s="172" t="s">
        <v>238</v>
      </c>
      <c r="D64" s="149"/>
      <c r="E64" s="149"/>
      <c r="F64" s="149"/>
      <c r="G64" s="149"/>
      <c r="H64" s="149"/>
      <c r="I64" s="149"/>
      <c r="J64" s="149"/>
      <c r="K64" s="164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6"/>
      <c r="X64" s="164"/>
      <c r="Y64" s="165"/>
      <c r="Z64" s="165"/>
      <c r="AA64" s="165"/>
      <c r="AB64" s="165"/>
      <c r="AC64" s="149"/>
      <c r="AD64" s="149"/>
      <c r="AE64" s="149"/>
      <c r="AF64" s="149"/>
      <c r="AG64" s="164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6"/>
    </row>
    <row r="65" spans="1:45" ht="19.5" customHeight="1">
      <c r="B65" s="150"/>
      <c r="C65" s="149" t="s">
        <v>239</v>
      </c>
      <c r="D65" s="149"/>
      <c r="E65" s="149"/>
      <c r="F65" s="149"/>
      <c r="G65" s="149"/>
      <c r="H65" s="149"/>
      <c r="I65" s="149"/>
      <c r="J65" s="149"/>
      <c r="K65" s="164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6"/>
      <c r="X65" s="164"/>
      <c r="Y65" s="165"/>
      <c r="Z65" s="165"/>
      <c r="AA65" s="165"/>
      <c r="AB65" s="165"/>
      <c r="AC65" s="149"/>
      <c r="AD65" s="149"/>
      <c r="AE65" s="149"/>
      <c r="AF65" s="149"/>
      <c r="AG65" s="164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6"/>
    </row>
    <row r="66" spans="1:45" ht="19.5" customHeight="1">
      <c r="B66" s="150"/>
      <c r="C66" s="149" t="s">
        <v>240</v>
      </c>
      <c r="D66" s="149"/>
      <c r="E66" s="149"/>
      <c r="F66" s="149"/>
      <c r="G66" s="149"/>
      <c r="H66" s="149"/>
      <c r="I66" s="149"/>
      <c r="J66" s="149"/>
      <c r="K66" s="164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6"/>
      <c r="X66" s="164"/>
      <c r="Y66" s="165"/>
      <c r="Z66" s="165"/>
      <c r="AA66" s="165"/>
      <c r="AB66" s="165"/>
      <c r="AC66" s="149"/>
      <c r="AD66" s="149"/>
      <c r="AE66" s="149"/>
      <c r="AF66" s="149"/>
      <c r="AG66" s="164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6"/>
    </row>
    <row r="67" spans="1:45" ht="19.5" customHeight="1">
      <c r="B67" s="150"/>
      <c r="C67" s="172" t="s">
        <v>245</v>
      </c>
      <c r="D67" s="149"/>
      <c r="E67" s="149"/>
      <c r="F67" s="149"/>
      <c r="G67" s="149"/>
      <c r="H67" s="149"/>
      <c r="I67" s="149"/>
      <c r="J67" s="149"/>
      <c r="K67" s="164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6"/>
      <c r="X67" s="164"/>
      <c r="Y67" s="165"/>
      <c r="Z67" s="165"/>
      <c r="AA67" s="165"/>
      <c r="AB67" s="165"/>
      <c r="AC67" s="149"/>
      <c r="AD67" s="149"/>
      <c r="AE67" s="149"/>
      <c r="AF67" s="149"/>
      <c r="AG67" s="164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6"/>
    </row>
    <row r="68" spans="1:45" ht="19.5" customHeight="1">
      <c r="B68" s="150"/>
      <c r="C68" s="149" t="s">
        <v>241</v>
      </c>
      <c r="D68" s="149"/>
      <c r="E68" s="149"/>
      <c r="F68" s="149"/>
      <c r="G68" s="149"/>
      <c r="H68" s="149"/>
      <c r="I68" s="149"/>
      <c r="J68" s="149"/>
      <c r="K68" s="164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6"/>
      <c r="X68" s="164"/>
      <c r="Y68" s="165"/>
      <c r="Z68" s="165"/>
      <c r="AA68" s="165"/>
      <c r="AB68" s="165"/>
      <c r="AC68" s="149"/>
      <c r="AD68" s="149"/>
      <c r="AE68" s="149"/>
      <c r="AF68" s="149"/>
      <c r="AG68" s="164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6"/>
    </row>
    <row r="69" spans="1:45" ht="19.5" customHeight="1">
      <c r="B69" s="150"/>
      <c r="C69" s="149" t="s">
        <v>242</v>
      </c>
      <c r="D69" s="149"/>
      <c r="E69" s="149"/>
      <c r="F69" s="149"/>
      <c r="G69" s="149"/>
      <c r="H69" s="149"/>
      <c r="I69" s="149"/>
      <c r="J69" s="149"/>
      <c r="K69" s="164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6"/>
      <c r="X69" s="164"/>
      <c r="Y69" s="165"/>
      <c r="Z69" s="165"/>
      <c r="AA69" s="165"/>
      <c r="AB69" s="165"/>
      <c r="AC69" s="149"/>
      <c r="AD69" s="149"/>
      <c r="AE69" s="149"/>
      <c r="AF69" s="149"/>
      <c r="AG69" s="164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6"/>
    </row>
    <row r="70" spans="1:45" ht="19.5" customHeight="1">
      <c r="B70" s="150"/>
      <c r="C70" s="149" t="s">
        <v>243</v>
      </c>
      <c r="D70" s="149"/>
      <c r="E70" s="149"/>
      <c r="F70" s="149"/>
      <c r="G70" s="149"/>
      <c r="H70" s="149"/>
      <c r="I70" s="149"/>
      <c r="J70" s="149"/>
      <c r="K70" s="164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6"/>
      <c r="X70" s="164"/>
      <c r="Y70" s="165"/>
      <c r="Z70" s="165"/>
      <c r="AA70" s="165"/>
      <c r="AB70" s="165"/>
      <c r="AC70" s="149"/>
      <c r="AD70" s="149"/>
      <c r="AE70" s="149"/>
      <c r="AF70" s="149"/>
      <c r="AG70" s="164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6"/>
    </row>
    <row r="71" spans="1:45" ht="19.5" customHeight="1">
      <c r="B71" s="150"/>
      <c r="C71" s="149" t="s">
        <v>244</v>
      </c>
      <c r="D71" s="149"/>
      <c r="E71" s="149"/>
      <c r="F71" s="149"/>
      <c r="G71" s="149"/>
      <c r="H71" s="149"/>
      <c r="I71" s="149"/>
      <c r="J71" s="149"/>
      <c r="K71" s="164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6"/>
      <c r="X71" s="164"/>
      <c r="Y71" s="165"/>
      <c r="Z71" s="165"/>
      <c r="AA71" s="165"/>
      <c r="AB71" s="165"/>
      <c r="AC71" s="149"/>
      <c r="AD71" s="149"/>
      <c r="AE71" s="149"/>
      <c r="AF71" s="149"/>
      <c r="AG71" s="164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6"/>
    </row>
    <row r="72" spans="1:45" ht="19.5" customHeight="1">
      <c r="B72" s="150"/>
      <c r="C72" s="149" t="s">
        <v>247</v>
      </c>
      <c r="D72" s="149"/>
      <c r="E72" s="149"/>
      <c r="F72" s="149"/>
      <c r="G72" s="149"/>
      <c r="H72" s="149"/>
      <c r="I72" s="149"/>
      <c r="J72" s="149"/>
      <c r="K72" s="164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6"/>
      <c r="X72" s="164"/>
      <c r="Y72" s="165"/>
      <c r="Z72" s="165"/>
      <c r="AA72" s="165"/>
      <c r="AB72" s="165"/>
      <c r="AC72" s="149"/>
      <c r="AD72" s="149"/>
      <c r="AE72" s="149"/>
      <c r="AF72" s="149"/>
      <c r="AG72" s="164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6"/>
    </row>
    <row r="73" spans="1:45" ht="19.5" customHeight="1">
      <c r="B73" s="153"/>
      <c r="C73" s="171" t="s">
        <v>246</v>
      </c>
      <c r="D73" s="171"/>
      <c r="E73" s="171"/>
      <c r="F73" s="171"/>
      <c r="G73" s="171"/>
      <c r="H73" s="171"/>
      <c r="I73" s="171"/>
      <c r="J73" s="171"/>
      <c r="K73" s="164"/>
      <c r="L73" s="171"/>
      <c r="M73" s="171"/>
      <c r="N73" s="171"/>
      <c r="O73" s="171"/>
      <c r="P73" s="165"/>
      <c r="Q73" s="165"/>
      <c r="R73" s="165"/>
      <c r="S73" s="165"/>
      <c r="T73" s="165"/>
      <c r="U73" s="165"/>
      <c r="V73" s="166"/>
      <c r="X73" s="164"/>
      <c r="Y73" s="165"/>
      <c r="Z73" s="165"/>
      <c r="AA73" s="165"/>
      <c r="AB73" s="165"/>
      <c r="AC73" s="149"/>
      <c r="AD73" s="149"/>
      <c r="AE73" s="149"/>
      <c r="AF73" s="149"/>
      <c r="AG73" s="164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6"/>
    </row>
    <row r="76" spans="1:45" s="142" customFormat="1" ht="19.5" customHeight="1" thickBot="1">
      <c r="A76" s="144" t="s">
        <v>216</v>
      </c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</row>
    <row r="77" spans="1:45" s="142" customFormat="1" ht="19.5" customHeight="1" thickTop="1">
      <c r="B77" s="142" t="s">
        <v>217</v>
      </c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</row>
    <row r="78" spans="1:45" s="142" customFormat="1" ht="19.5" customHeight="1">
      <c r="D78" s="143"/>
      <c r="E78" s="143"/>
      <c r="F78" s="143" t="s">
        <v>218</v>
      </c>
      <c r="G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</row>
    <row r="79" spans="1:45" s="142" customFormat="1" ht="19.5" customHeight="1">
      <c r="C79" s="143"/>
      <c r="D79" s="143"/>
      <c r="E79" s="143"/>
      <c r="F79" s="143"/>
      <c r="G79" s="143" t="s">
        <v>219</v>
      </c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</row>
    <row r="80" spans="1:45" s="142" customFormat="1" ht="19.5" customHeight="1"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</row>
    <row r="81" spans="3:41" s="142" customFormat="1" ht="19.5" customHeight="1"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</row>
    <row r="82" spans="3:41" s="142" customFormat="1" ht="19.5" customHeight="1">
      <c r="C82" s="143"/>
      <c r="D82" s="143"/>
      <c r="E82" s="143"/>
      <c r="F82" s="143" t="s">
        <v>220</v>
      </c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</row>
    <row r="83" spans="3:41" s="142" customFormat="1" ht="19.5" customHeight="1">
      <c r="C83" s="143"/>
      <c r="D83" s="143"/>
      <c r="E83" s="143"/>
      <c r="F83" s="143"/>
      <c r="G83" s="143" t="s">
        <v>221</v>
      </c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</row>
    <row r="84" spans="3:41" s="142" customFormat="1" ht="19.5" customHeight="1">
      <c r="C84" s="143"/>
      <c r="D84" s="143"/>
      <c r="E84" s="143"/>
      <c r="F84" s="143"/>
      <c r="G84" s="145" t="s">
        <v>223</v>
      </c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</row>
    <row r="85" spans="3:41" s="142" customFormat="1" ht="19.5" customHeight="1"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</row>
    <row r="86" spans="3:41" s="142" customFormat="1" ht="19.5" customHeight="1"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</row>
    <row r="87" spans="3:41" s="142" customFormat="1" ht="19.5" customHeight="1"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</row>
    <row r="88" spans="3:41" s="142" customFormat="1" ht="19.5" customHeight="1"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</row>
    <row r="89" spans="3:41" s="142" customFormat="1" ht="19.5" customHeight="1"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</row>
    <row r="90" spans="3:41" s="142" customFormat="1" ht="19.5" customHeight="1"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</row>
    <row r="91" spans="3:41" s="142" customFormat="1" ht="19.5" customHeight="1"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</row>
    <row r="92" spans="3:41" s="142" customFormat="1" ht="19.5" customHeight="1"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</row>
    <row r="93" spans="3:41" s="142" customFormat="1" ht="19.5" customHeight="1"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</row>
    <row r="94" spans="3:41" s="142" customFormat="1" ht="19.5" customHeight="1"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</row>
    <row r="97" spans="1:45" ht="19.5" customHeight="1" thickBot="1">
      <c r="A97" s="44" t="s">
        <v>311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</row>
    <row r="98" spans="1:45" ht="19.5" customHeight="1" thickTop="1">
      <c r="B98" s="45" t="s">
        <v>82</v>
      </c>
    </row>
    <row r="100" spans="1:45" ht="19.5" customHeight="1">
      <c r="B100" s="46" t="s">
        <v>85</v>
      </c>
      <c r="C100" s="46"/>
      <c r="D100" s="46"/>
      <c r="E100" s="46"/>
      <c r="F100" s="46"/>
      <c r="G100" s="46"/>
      <c r="H100" s="46"/>
      <c r="I100" s="54" t="s">
        <v>86</v>
      </c>
      <c r="J100" s="55"/>
      <c r="K100" s="55"/>
      <c r="L100" s="55"/>
      <c r="M100" s="55"/>
      <c r="N100" s="56"/>
      <c r="O100" s="53"/>
      <c r="P100" s="53"/>
      <c r="Q100" s="53"/>
      <c r="R100" s="53"/>
      <c r="S100" s="53"/>
      <c r="T100" s="53"/>
      <c r="U100" s="53"/>
      <c r="V100" s="53"/>
    </row>
    <row r="101" spans="1:45" ht="19.5" customHeight="1">
      <c r="B101" s="47" t="s">
        <v>84</v>
      </c>
      <c r="C101" s="48"/>
      <c r="D101" s="48"/>
      <c r="E101" s="48"/>
      <c r="F101" s="48"/>
      <c r="G101" s="48"/>
      <c r="H101" s="48"/>
      <c r="I101" s="47" t="s">
        <v>88</v>
      </c>
      <c r="J101" s="48"/>
      <c r="K101" s="48"/>
      <c r="L101" s="48"/>
      <c r="M101" s="48"/>
      <c r="N101" s="49"/>
      <c r="O101" s="48" t="s">
        <v>91</v>
      </c>
      <c r="P101" s="48"/>
      <c r="Q101" s="48"/>
      <c r="R101" s="48"/>
      <c r="S101" s="48"/>
      <c r="T101" s="48"/>
      <c r="U101" s="48"/>
      <c r="V101" s="48"/>
    </row>
    <row r="102" spans="1:45" ht="19.5" customHeight="1">
      <c r="B102" s="47" t="s">
        <v>83</v>
      </c>
      <c r="C102" s="48"/>
      <c r="D102" s="48"/>
      <c r="E102" s="48"/>
      <c r="F102" s="48"/>
      <c r="G102" s="48"/>
      <c r="H102" s="48"/>
      <c r="I102" s="47" t="s">
        <v>87</v>
      </c>
      <c r="J102" s="48"/>
      <c r="K102" s="48"/>
      <c r="L102" s="48"/>
      <c r="M102" s="48"/>
      <c r="N102" s="49"/>
      <c r="O102" s="48" t="s">
        <v>91</v>
      </c>
      <c r="P102" s="48"/>
      <c r="Q102" s="48"/>
      <c r="R102" s="48"/>
      <c r="S102" s="48"/>
      <c r="T102" s="48"/>
      <c r="U102" s="48"/>
      <c r="V102" s="48"/>
    </row>
    <row r="103" spans="1:45" ht="19.5" customHeight="1">
      <c r="B103" s="50"/>
      <c r="C103" s="51"/>
      <c r="D103" s="51"/>
      <c r="E103" s="51"/>
      <c r="F103" s="51"/>
      <c r="G103" s="51"/>
      <c r="H103" s="51"/>
      <c r="I103" s="50"/>
      <c r="J103" s="51"/>
      <c r="K103" s="51"/>
      <c r="L103" s="51"/>
      <c r="M103" s="51"/>
      <c r="N103" s="52"/>
      <c r="O103" s="51"/>
      <c r="P103" s="51"/>
      <c r="Q103" s="51"/>
      <c r="R103" s="51"/>
      <c r="S103" s="51"/>
      <c r="T103" s="51"/>
      <c r="U103" s="51"/>
      <c r="V103" s="51"/>
    </row>
    <row r="104" spans="1:45" ht="19.5" customHeight="1">
      <c r="B104" s="50"/>
      <c r="C104" s="51"/>
      <c r="D104" s="51"/>
      <c r="E104" s="51"/>
      <c r="F104" s="51"/>
      <c r="G104" s="51"/>
      <c r="H104" s="51"/>
      <c r="I104" s="50"/>
      <c r="J104" s="51"/>
      <c r="K104" s="51"/>
      <c r="L104" s="51"/>
      <c r="M104" s="51"/>
      <c r="N104" s="52"/>
      <c r="O104" s="51"/>
      <c r="P104" s="51"/>
      <c r="Q104" s="51"/>
      <c r="R104" s="51"/>
      <c r="S104" s="51"/>
      <c r="T104" s="51"/>
      <c r="U104" s="51"/>
      <c r="V104" s="51"/>
    </row>
    <row r="105" spans="1:45" ht="19.5" customHeight="1">
      <c r="B105" s="50"/>
      <c r="C105" s="51"/>
      <c r="D105" s="51"/>
      <c r="E105" s="51"/>
      <c r="F105" s="51"/>
      <c r="G105" s="51"/>
      <c r="H105" s="51"/>
      <c r="I105" s="50"/>
      <c r="J105" s="51"/>
      <c r="K105" s="51"/>
      <c r="L105" s="51"/>
      <c r="M105" s="51"/>
      <c r="N105" s="52"/>
      <c r="O105" s="51"/>
      <c r="P105" s="51"/>
      <c r="Q105" s="51"/>
      <c r="R105" s="51"/>
      <c r="S105" s="51"/>
      <c r="T105" s="51"/>
      <c r="U105" s="51"/>
      <c r="V105" s="51"/>
    </row>
    <row r="106" spans="1:45" ht="19.5" customHeight="1">
      <c r="B106" s="50"/>
      <c r="C106" s="51"/>
      <c r="D106" s="51"/>
      <c r="E106" s="51"/>
      <c r="F106" s="51"/>
      <c r="G106" s="51"/>
      <c r="H106" s="51"/>
      <c r="I106" s="50"/>
      <c r="J106" s="51"/>
      <c r="K106" s="51"/>
      <c r="L106" s="51"/>
      <c r="M106" s="51"/>
      <c r="N106" s="52"/>
      <c r="O106" s="51"/>
      <c r="P106" s="51"/>
      <c r="Q106" s="51"/>
      <c r="R106" s="51"/>
      <c r="S106" s="51"/>
      <c r="T106" s="51"/>
      <c r="U106" s="51"/>
      <c r="V106" s="51"/>
    </row>
  </sheetData>
  <mergeCells count="6"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76" display="#A76"/>
    <hyperlink ref="B5:L5" location="#A97" display="#A97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20"/>
    </sheetView>
  </sheetViews>
  <sheetFormatPr defaultRowHeight="16.5"/>
  <sheetData/>
  <sortState ref="A1:A20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4"/>
  <sheetViews>
    <sheetView topLeftCell="A13" workbookViewId="0">
      <selection activeCell="A49" sqref="A49"/>
    </sheetView>
  </sheetViews>
  <sheetFormatPr defaultRowHeight="15" customHeight="1"/>
  <cols>
    <col min="1" max="1" width="9" style="5"/>
    <col min="2" max="2" width="70.625" style="5" customWidth="1"/>
    <col min="3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275">
        <v>1</v>
      </c>
      <c r="B2" s="275" t="s">
        <v>323</v>
      </c>
    </row>
    <row r="3" spans="1:2" ht="15" customHeight="1">
      <c r="A3" s="275">
        <v>2</v>
      </c>
      <c r="B3" s="275" t="s">
        <v>324</v>
      </c>
    </row>
    <row r="4" spans="1:2" ht="15" customHeight="1">
      <c r="A4" s="275">
        <v>3</v>
      </c>
      <c r="B4" s="275" t="s">
        <v>325</v>
      </c>
    </row>
    <row r="5" spans="1:2" ht="15" customHeight="1">
      <c r="A5" s="275">
        <v>4</v>
      </c>
      <c r="B5" s="275" t="s">
        <v>326</v>
      </c>
    </row>
    <row r="6" spans="1:2" ht="15" customHeight="1">
      <c r="A6" s="5">
        <v>5</v>
      </c>
    </row>
    <row r="12" spans="1:2" ht="15" customHeight="1">
      <c r="A12" s="5">
        <v>100</v>
      </c>
      <c r="B12" s="5" t="s">
        <v>14</v>
      </c>
    </row>
    <row r="17" spans="1:2" ht="15" customHeight="1">
      <c r="A17" s="5">
        <v>200</v>
      </c>
      <c r="B17" s="5" t="s">
        <v>13</v>
      </c>
    </row>
    <row r="18" spans="1:2" ht="15" customHeight="1">
      <c r="A18" s="275">
        <v>201</v>
      </c>
      <c r="B18" s="275" t="s">
        <v>318</v>
      </c>
    </row>
    <row r="19" spans="1:2" ht="15" customHeight="1">
      <c r="A19" s="275">
        <v>202</v>
      </c>
      <c r="B19" s="275" t="s">
        <v>319</v>
      </c>
    </row>
    <row r="20" spans="1:2" ht="15" customHeight="1">
      <c r="A20" s="275">
        <v>203</v>
      </c>
      <c r="B20" s="275" t="s">
        <v>320</v>
      </c>
    </row>
    <row r="21" spans="1:2" ht="15" customHeight="1">
      <c r="A21" s="275">
        <v>204</v>
      </c>
      <c r="B21" s="275" t="s">
        <v>321</v>
      </c>
    </row>
    <row r="22" spans="1:2" ht="15" customHeight="1">
      <c r="A22" s="275">
        <v>205</v>
      </c>
      <c r="B22" s="275" t="s">
        <v>322</v>
      </c>
    </row>
    <row r="24" spans="1:2" ht="15" customHeight="1">
      <c r="A24" s="275">
        <v>400</v>
      </c>
      <c r="B24" s="275" t="s">
        <v>317</v>
      </c>
    </row>
    <row r="25" spans="1:2" ht="15" customHeight="1">
      <c r="A25" s="275">
        <v>401</v>
      </c>
      <c r="B25" s="274" t="s">
        <v>327</v>
      </c>
    </row>
    <row r="26" spans="1:2" ht="15" customHeight="1">
      <c r="A26" s="275">
        <v>402</v>
      </c>
      <c r="B26" s="274" t="s">
        <v>328</v>
      </c>
    </row>
    <row r="27" spans="1:2" ht="15" customHeight="1">
      <c r="A27" s="275">
        <v>403</v>
      </c>
      <c r="B27" s="275" t="s">
        <v>329</v>
      </c>
    </row>
    <row r="28" spans="1:2" ht="15" customHeight="1">
      <c r="A28" s="275">
        <v>404</v>
      </c>
      <c r="B28" s="275" t="s">
        <v>330</v>
      </c>
    </row>
    <row r="29" spans="1:2" ht="15" customHeight="1">
      <c r="A29" s="275">
        <v>405</v>
      </c>
      <c r="B29" s="275" t="s">
        <v>331</v>
      </c>
    </row>
    <row r="30" spans="1:2" ht="15" customHeight="1">
      <c r="A30" s="275">
        <v>406</v>
      </c>
      <c r="B30" s="275" t="s">
        <v>332</v>
      </c>
    </row>
    <row r="31" spans="1:2" ht="15" customHeight="1">
      <c r="A31" s="275">
        <v>407</v>
      </c>
      <c r="B31" s="275" t="s">
        <v>333</v>
      </c>
    </row>
    <row r="32" spans="1:2" ht="15" customHeight="1">
      <c r="A32" s="275">
        <v>408</v>
      </c>
      <c r="B32" s="275"/>
    </row>
    <row r="33" spans="1:2" ht="15" customHeight="1">
      <c r="A33" s="275">
        <v>409</v>
      </c>
      <c r="B33" s="275"/>
    </row>
    <row r="34" spans="1:2" ht="15" customHeight="1">
      <c r="A34" s="275">
        <v>410</v>
      </c>
      <c r="B34" s="275"/>
    </row>
    <row r="35" spans="1:2" ht="15" customHeight="1">
      <c r="A35" s="275"/>
      <c r="B35" s="275"/>
    </row>
    <row r="36" spans="1:2" ht="15" customHeight="1">
      <c r="A36" s="275"/>
      <c r="B36" s="275"/>
    </row>
    <row r="37" spans="1:2" ht="15" customHeight="1">
      <c r="A37" s="275"/>
      <c r="B37" s="275"/>
    </row>
    <row r="38" spans="1:2" ht="15" customHeight="1">
      <c r="A38" s="275"/>
      <c r="B38" s="275"/>
    </row>
    <row r="39" spans="1:2" ht="15" customHeight="1">
      <c r="A39" s="5">
        <v>450</v>
      </c>
      <c r="B39" s="5" t="s">
        <v>19</v>
      </c>
    </row>
    <row r="40" spans="1:2" ht="15" customHeight="1">
      <c r="A40" s="5">
        <v>450</v>
      </c>
      <c r="B40" s="34" t="s">
        <v>48</v>
      </c>
    </row>
    <row r="41" spans="1:2" ht="15" customHeight="1">
      <c r="A41" s="5">
        <v>451</v>
      </c>
      <c r="B41" s="34" t="s">
        <v>47</v>
      </c>
    </row>
    <row r="42" spans="1:2" ht="15" customHeight="1">
      <c r="A42" s="5">
        <v>452</v>
      </c>
      <c r="B42" s="5" t="s">
        <v>49</v>
      </c>
    </row>
    <row r="43" spans="1:2" ht="15" customHeight="1">
      <c r="A43" s="5">
        <v>453</v>
      </c>
      <c r="B43" s="5" t="s">
        <v>50</v>
      </c>
    </row>
    <row r="44" spans="1:2" ht="15" customHeight="1">
      <c r="A44" s="5">
        <v>454</v>
      </c>
      <c r="B44" s="5" t="s">
        <v>143</v>
      </c>
    </row>
    <row r="49" spans="1:2" ht="15" customHeight="1">
      <c r="A49" s="275"/>
    </row>
    <row r="51" spans="1:2" ht="15" customHeight="1">
      <c r="A51" s="275">
        <v>9</v>
      </c>
      <c r="B51" s="275" t="s">
        <v>313</v>
      </c>
    </row>
    <row r="52" spans="1:2" ht="15" customHeight="1">
      <c r="A52" s="275">
        <v>13</v>
      </c>
      <c r="B52" s="275" t="s">
        <v>314</v>
      </c>
    </row>
    <row r="53" spans="1:2" ht="15" customHeight="1">
      <c r="A53" s="275">
        <v>91</v>
      </c>
      <c r="B53" s="275" t="s">
        <v>315</v>
      </c>
    </row>
    <row r="54" spans="1:2" ht="15" customHeight="1">
      <c r="A54" s="275">
        <v>1004</v>
      </c>
      <c r="B54" s="275" t="s">
        <v>316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88"/>
  <sheetViews>
    <sheetView showGridLines="0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65" customWidth="1"/>
    <col min="10" max="10" width="5.625" style="66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69" bestFit="1" customWidth="1"/>
    <col min="16" max="16" width="5.625" style="69" customWidth="1"/>
    <col min="17" max="17" width="10.625" style="73" customWidth="1"/>
    <col min="18" max="18" width="11.625" style="4" bestFit="1" customWidth="1"/>
    <col min="19" max="19" width="5.625" style="21" customWidth="1"/>
    <col min="20" max="20" width="13.25" style="21" customWidth="1"/>
    <col min="21" max="16384" width="3.125" style="21"/>
  </cols>
  <sheetData>
    <row r="1" spans="1:20" ht="20.100000000000001" customHeight="1">
      <c r="A1" s="279" t="s">
        <v>10</v>
      </c>
      <c r="B1" s="279"/>
      <c r="C1" s="13"/>
      <c r="D1" s="279" t="s">
        <v>9</v>
      </c>
      <c r="E1" s="279"/>
      <c r="F1" s="13"/>
      <c r="G1" s="279" t="s">
        <v>199</v>
      </c>
      <c r="H1" s="279"/>
      <c r="I1" s="279"/>
      <c r="K1" s="4"/>
      <c r="N1" s="13"/>
      <c r="O1" s="67"/>
      <c r="P1" s="68"/>
      <c r="Q1" s="123"/>
      <c r="R1" s="13"/>
      <c r="S1" s="70"/>
      <c r="T1" s="70"/>
    </row>
    <row r="2" spans="1:20" ht="20.100000000000001" customHeight="1">
      <c r="A2" s="16" t="s">
        <v>5</v>
      </c>
      <c r="B2" s="16" t="s">
        <v>6</v>
      </c>
      <c r="C2" s="14"/>
      <c r="D2" s="16" t="s">
        <v>5</v>
      </c>
      <c r="E2" s="16" t="s">
        <v>6</v>
      </c>
      <c r="F2" s="14"/>
      <c r="G2" s="16" t="s">
        <v>5</v>
      </c>
      <c r="H2" s="62"/>
      <c r="I2" s="62" t="s">
        <v>7</v>
      </c>
      <c r="K2" s="175" t="s">
        <v>1</v>
      </c>
      <c r="L2" s="175" t="s">
        <v>155</v>
      </c>
      <c r="M2" s="175" t="s">
        <v>6</v>
      </c>
      <c r="N2" s="14"/>
      <c r="O2" s="176" t="s">
        <v>198</v>
      </c>
      <c r="Q2" s="280" t="s">
        <v>200</v>
      </c>
      <c r="R2" s="281"/>
      <c r="S2" s="70"/>
      <c r="T2" s="175" t="s">
        <v>75</v>
      </c>
    </row>
    <row r="3" spans="1:20" s="71" customFormat="1" ht="20.100000000000001" customHeight="1">
      <c r="A3" s="181" t="s">
        <v>18</v>
      </c>
      <c r="B3" s="182" t="s">
        <v>309</v>
      </c>
      <c r="C3" s="14"/>
      <c r="D3" s="1"/>
      <c r="E3" s="15"/>
      <c r="F3" s="14"/>
      <c r="G3" s="39" t="s">
        <v>56</v>
      </c>
      <c r="H3" s="63" t="s">
        <v>64</v>
      </c>
      <c r="I3" s="64" t="s">
        <v>148</v>
      </c>
      <c r="J3" s="66"/>
      <c r="K3" s="313" t="s">
        <v>165</v>
      </c>
      <c r="L3" s="177"/>
      <c r="M3" s="174"/>
      <c r="N3" s="14"/>
      <c r="O3" s="178">
        <v>44050</v>
      </c>
      <c r="P3" s="69"/>
      <c r="Q3" s="178">
        <v>44095</v>
      </c>
      <c r="R3" s="178" t="s">
        <v>307</v>
      </c>
      <c r="S3" s="70"/>
      <c r="T3" s="178" t="s">
        <v>76</v>
      </c>
    </row>
    <row r="4" spans="1:20" s="72" customFormat="1" ht="20.100000000000001" customHeight="1">
      <c r="A4" s="183" t="s">
        <v>261</v>
      </c>
      <c r="B4" s="182" t="s">
        <v>274</v>
      </c>
      <c r="C4" s="14"/>
      <c r="D4" s="1"/>
      <c r="E4" s="15"/>
      <c r="F4" s="14"/>
      <c r="G4" s="39" t="s">
        <v>53</v>
      </c>
      <c r="H4" s="63" t="s">
        <v>65</v>
      </c>
      <c r="I4" s="64"/>
      <c r="J4" s="66"/>
      <c r="K4" s="314" t="s">
        <v>119</v>
      </c>
      <c r="L4" s="177">
        <v>75000</v>
      </c>
      <c r="M4" s="174"/>
      <c r="N4" s="14"/>
      <c r="O4" s="178">
        <v>44053</v>
      </c>
      <c r="P4" s="69"/>
      <c r="Q4" s="178">
        <v>44096</v>
      </c>
      <c r="R4" s="178" t="s">
        <v>308</v>
      </c>
      <c r="S4" s="70"/>
      <c r="T4" s="178" t="s">
        <v>178</v>
      </c>
    </row>
    <row r="5" spans="1:20" ht="20.100000000000001" customHeight="1">
      <c r="A5" s="181" t="s">
        <v>163</v>
      </c>
      <c r="B5" s="184">
        <v>55</v>
      </c>
      <c r="C5" s="14"/>
      <c r="D5" s="1"/>
      <c r="E5" s="15"/>
      <c r="F5" s="14"/>
      <c r="G5" s="39" t="s">
        <v>54</v>
      </c>
      <c r="H5" s="63" t="s">
        <v>66</v>
      </c>
      <c r="I5" s="64"/>
      <c r="K5" s="315" t="s">
        <v>120</v>
      </c>
      <c r="L5" s="177">
        <v>60000</v>
      </c>
      <c r="M5" s="174"/>
      <c r="N5" s="14"/>
      <c r="O5" s="178">
        <v>44054</v>
      </c>
      <c r="Q5" s="178"/>
      <c r="R5" s="178"/>
      <c r="S5" s="70"/>
      <c r="T5" s="178" t="s">
        <v>77</v>
      </c>
    </row>
    <row r="6" spans="1:20" s="72" customFormat="1" ht="20.100000000000001" customHeight="1">
      <c r="A6" s="181" t="s">
        <v>74</v>
      </c>
      <c r="B6" s="185">
        <v>44066</v>
      </c>
      <c r="C6" s="14"/>
      <c r="D6" s="1"/>
      <c r="E6" s="15"/>
      <c r="F6" s="14"/>
      <c r="G6" s="39" t="s">
        <v>55</v>
      </c>
      <c r="H6" s="63" t="s">
        <v>71</v>
      </c>
      <c r="I6" s="64"/>
      <c r="J6" s="66"/>
      <c r="K6" s="315" t="s">
        <v>121</v>
      </c>
      <c r="L6" s="177">
        <v>50000</v>
      </c>
      <c r="M6" s="174"/>
      <c r="N6" s="14"/>
      <c r="O6" s="178">
        <v>44195</v>
      </c>
      <c r="P6" s="69"/>
      <c r="Q6" s="178"/>
      <c r="R6" s="178"/>
      <c r="S6" s="70"/>
      <c r="T6" s="178" t="s">
        <v>78</v>
      </c>
    </row>
    <row r="7" spans="1:20" s="72" customFormat="1" ht="20.100000000000001" customHeight="1">
      <c r="A7" s="181" t="s">
        <v>93</v>
      </c>
      <c r="B7" s="185">
        <v>44128</v>
      </c>
      <c r="C7" s="14"/>
      <c r="D7" s="1"/>
      <c r="E7" s="15"/>
      <c r="F7" s="14"/>
      <c r="G7" s="39" t="s">
        <v>57</v>
      </c>
      <c r="H7" s="63" t="s">
        <v>68</v>
      </c>
      <c r="I7" s="64" t="s">
        <v>58</v>
      </c>
      <c r="J7" s="66"/>
      <c r="K7" s="315" t="s">
        <v>122</v>
      </c>
      <c r="L7" s="177">
        <v>50000</v>
      </c>
      <c r="M7" s="174"/>
      <c r="N7" s="14"/>
      <c r="O7" s="178">
        <v>44196</v>
      </c>
      <c r="P7" s="69"/>
      <c r="Q7" s="178"/>
      <c r="R7" s="178"/>
      <c r="S7" s="70"/>
      <c r="T7" s="178" t="s">
        <v>51</v>
      </c>
    </row>
    <row r="8" spans="1:20" s="72" customFormat="1" ht="20.100000000000001" customHeight="1">
      <c r="A8" s="181" t="s">
        <v>94</v>
      </c>
      <c r="B8" s="185">
        <v>44173</v>
      </c>
      <c r="C8" s="14"/>
      <c r="D8" s="1"/>
      <c r="E8" s="15"/>
      <c r="F8" s="14"/>
      <c r="G8" s="39" t="s">
        <v>52</v>
      </c>
      <c r="H8" s="63" t="s">
        <v>69</v>
      </c>
      <c r="I8" s="64" t="s">
        <v>8</v>
      </c>
      <c r="J8" s="66"/>
      <c r="K8" s="316" t="s">
        <v>123</v>
      </c>
      <c r="L8" s="177">
        <v>30</v>
      </c>
      <c r="M8" s="174"/>
      <c r="N8" s="14"/>
      <c r="O8" s="178">
        <v>44198</v>
      </c>
      <c r="P8" s="69"/>
      <c r="Q8" s="178"/>
      <c r="R8" s="178"/>
      <c r="S8" s="70"/>
      <c r="T8" s="178" t="s">
        <v>79</v>
      </c>
    </row>
    <row r="9" spans="1:20" s="72" customFormat="1" ht="20.100000000000001" customHeight="1">
      <c r="A9" s="181" t="s">
        <v>262</v>
      </c>
      <c r="B9" s="192" t="s">
        <v>263</v>
      </c>
      <c r="C9" s="14"/>
      <c r="D9" s="1"/>
      <c r="E9" s="15"/>
      <c r="F9" s="14"/>
      <c r="G9" s="39" t="s">
        <v>60</v>
      </c>
      <c r="H9" s="63" t="s">
        <v>70</v>
      </c>
      <c r="I9" s="64" t="s">
        <v>59</v>
      </c>
      <c r="J9" s="66"/>
      <c r="K9" s="317" t="s">
        <v>124</v>
      </c>
      <c r="L9" s="177"/>
      <c r="M9" s="174"/>
      <c r="N9" s="14"/>
      <c r="O9" s="178">
        <v>44199</v>
      </c>
      <c r="P9" s="69"/>
      <c r="Q9" s="178"/>
      <c r="R9" s="178"/>
      <c r="S9" s="70"/>
      <c r="T9" s="178"/>
    </row>
    <row r="10" spans="1:20" s="72" customFormat="1" ht="20.100000000000001" customHeight="1">
      <c r="A10" s="114" t="s">
        <v>205</v>
      </c>
      <c r="B10" s="115" t="s">
        <v>194</v>
      </c>
      <c r="C10" s="14"/>
      <c r="D10" s="1"/>
      <c r="E10" s="15"/>
      <c r="F10" s="14"/>
      <c r="G10" s="39" t="s">
        <v>61</v>
      </c>
      <c r="H10" s="63" t="s">
        <v>67</v>
      </c>
      <c r="I10" s="64"/>
      <c r="J10" s="66"/>
      <c r="K10" s="317" t="s">
        <v>125</v>
      </c>
      <c r="L10" s="177"/>
      <c r="M10" s="174"/>
      <c r="N10" s="14"/>
      <c r="O10" s="178"/>
      <c r="P10" s="69"/>
      <c r="Q10" s="178"/>
      <c r="R10" s="178"/>
      <c r="S10" s="70"/>
      <c r="T10" s="178"/>
    </row>
    <row r="11" spans="1:20" s="72" customFormat="1" ht="20.100000000000001" customHeight="1">
      <c r="A11" s="114" t="s">
        <v>201</v>
      </c>
      <c r="B11" s="115" t="s">
        <v>193</v>
      </c>
      <c r="C11" s="14"/>
      <c r="D11" s="1"/>
      <c r="E11" s="15"/>
      <c r="F11" s="14"/>
      <c r="G11" s="39" t="s">
        <v>62</v>
      </c>
      <c r="H11" s="63" t="s">
        <v>72</v>
      </c>
      <c r="I11" s="64"/>
      <c r="J11" s="66"/>
      <c r="K11" s="317" t="s">
        <v>126</v>
      </c>
      <c r="L11" s="177"/>
      <c r="M11" s="174"/>
      <c r="N11" s="14"/>
      <c r="O11" s="178"/>
      <c r="P11" s="69"/>
      <c r="Q11" s="178"/>
      <c r="R11" s="178"/>
      <c r="S11" s="70"/>
      <c r="T11" s="178"/>
    </row>
    <row r="12" spans="1:20" s="72" customFormat="1" ht="20.100000000000001" customHeight="1">
      <c r="A12" s="114" t="s">
        <v>202</v>
      </c>
      <c r="B12" s="133" t="s">
        <v>203</v>
      </c>
      <c r="C12" s="14"/>
      <c r="D12" s="1"/>
      <c r="E12" s="15"/>
      <c r="F12" s="14"/>
      <c r="G12" s="39" t="s">
        <v>63</v>
      </c>
      <c r="H12" s="63" t="s">
        <v>73</v>
      </c>
      <c r="I12" s="64"/>
      <c r="J12" s="66"/>
      <c r="K12" s="318" t="s">
        <v>127</v>
      </c>
      <c r="L12" s="177"/>
      <c r="M12" s="174"/>
      <c r="N12" s="14"/>
      <c r="O12" s="178"/>
      <c r="P12" s="69"/>
      <c r="Q12" s="178"/>
      <c r="R12" s="178"/>
      <c r="S12" s="70"/>
      <c r="T12" s="178"/>
    </row>
    <row r="13" spans="1:20" s="72" customFormat="1" ht="20.100000000000001" customHeight="1">
      <c r="A13" s="114" t="s">
        <v>151</v>
      </c>
      <c r="B13" s="115" t="s">
        <v>310</v>
      </c>
      <c r="C13" s="14"/>
      <c r="D13" s="1"/>
      <c r="E13" s="15"/>
      <c r="F13" s="14"/>
      <c r="G13" s="39"/>
      <c r="H13" s="63"/>
      <c r="I13" s="64"/>
      <c r="J13" s="66"/>
      <c r="K13" s="319" t="s">
        <v>128</v>
      </c>
      <c r="L13" s="177"/>
      <c r="M13" s="174"/>
      <c r="N13" s="14"/>
      <c r="O13" s="178"/>
      <c r="P13" s="69"/>
      <c r="Q13" s="178"/>
      <c r="R13" s="178"/>
      <c r="S13" s="70"/>
      <c r="T13" s="178"/>
    </row>
    <row r="14" spans="1:20" s="72" customFormat="1" ht="20.100000000000001" customHeight="1">
      <c r="A14" s="186" t="s">
        <v>190</v>
      </c>
      <c r="B14" s="187" t="s">
        <v>189</v>
      </c>
      <c r="C14" s="14"/>
      <c r="D14" s="1"/>
      <c r="E14" s="15"/>
      <c r="F14" s="14"/>
      <c r="G14" s="39"/>
      <c r="H14" s="63"/>
      <c r="I14" s="64"/>
      <c r="J14" s="66"/>
      <c r="K14" s="319" t="s">
        <v>129</v>
      </c>
      <c r="L14" s="177"/>
      <c r="M14" s="174"/>
      <c r="N14" s="14"/>
      <c r="O14" s="178"/>
      <c r="P14" s="69"/>
      <c r="Q14" s="178"/>
      <c r="R14" s="178"/>
      <c r="S14" s="70"/>
      <c r="T14" s="178"/>
    </row>
    <row r="15" spans="1:20" s="72" customFormat="1" ht="20.100000000000001" customHeight="1">
      <c r="A15" s="186" t="s">
        <v>192</v>
      </c>
      <c r="B15" s="187" t="s">
        <v>191</v>
      </c>
      <c r="C15" s="14"/>
      <c r="D15" s="1"/>
      <c r="E15" s="15"/>
      <c r="F15" s="14"/>
      <c r="G15" s="39"/>
      <c r="H15" s="63"/>
      <c r="I15" s="64"/>
      <c r="J15" s="66"/>
      <c r="K15" s="319" t="s">
        <v>130</v>
      </c>
      <c r="L15" s="177"/>
      <c r="M15" s="174"/>
      <c r="N15" s="14"/>
      <c r="O15" s="178"/>
      <c r="P15" s="69"/>
      <c r="Q15" s="178"/>
      <c r="R15" s="178"/>
      <c r="S15" s="70"/>
      <c r="T15" s="178"/>
    </row>
    <row r="16" spans="1:20" s="72" customFormat="1" ht="20.100000000000001" customHeight="1">
      <c r="A16" s="186" t="s">
        <v>161</v>
      </c>
      <c r="B16" s="187" t="s">
        <v>147</v>
      </c>
      <c r="C16" s="14"/>
      <c r="D16" s="1"/>
      <c r="E16" s="15"/>
      <c r="F16" s="14"/>
      <c r="G16" s="39"/>
      <c r="H16" s="63"/>
      <c r="I16" s="64"/>
      <c r="J16" s="66"/>
      <c r="K16" s="320" t="s">
        <v>131</v>
      </c>
      <c r="L16" s="177"/>
      <c r="M16" s="174"/>
      <c r="N16" s="14"/>
      <c r="O16" s="178"/>
      <c r="P16" s="69"/>
      <c r="Q16" s="178"/>
      <c r="R16" s="178"/>
      <c r="S16" s="70"/>
      <c r="T16" s="178"/>
    </row>
    <row r="17" spans="1:20" s="72" customFormat="1" ht="20.100000000000001" customHeight="1">
      <c r="A17" s="186" t="s">
        <v>177</v>
      </c>
      <c r="B17" s="187" t="s">
        <v>176</v>
      </c>
      <c r="C17" s="14"/>
      <c r="D17" s="1"/>
      <c r="E17" s="15"/>
      <c r="F17" s="14"/>
      <c r="G17" s="39"/>
      <c r="H17" s="63"/>
      <c r="I17" s="64"/>
      <c r="J17" s="66"/>
      <c r="K17" s="321" t="s">
        <v>132</v>
      </c>
      <c r="L17" s="177"/>
      <c r="M17" s="174"/>
      <c r="N17" s="14"/>
      <c r="O17" s="178"/>
      <c r="P17" s="69"/>
      <c r="Q17" s="178"/>
      <c r="R17" s="178"/>
      <c r="S17" s="70"/>
      <c r="T17" s="178"/>
    </row>
    <row r="18" spans="1:20" s="72" customFormat="1" ht="20.100000000000001" customHeight="1">
      <c r="A18" s="186" t="s">
        <v>156</v>
      </c>
      <c r="B18" s="187" t="s">
        <v>148</v>
      </c>
      <c r="C18" s="14"/>
      <c r="D18" s="1"/>
      <c r="E18" s="15"/>
      <c r="F18" s="14"/>
      <c r="G18" s="39"/>
      <c r="H18" s="63"/>
      <c r="I18" s="64"/>
      <c r="J18" s="66"/>
      <c r="K18" s="321" t="s">
        <v>133</v>
      </c>
      <c r="L18" s="177"/>
      <c r="M18" s="174"/>
      <c r="N18" s="14"/>
      <c r="O18" s="178"/>
      <c r="P18" s="69"/>
      <c r="Q18" s="178"/>
      <c r="R18" s="178"/>
      <c r="S18" s="70"/>
      <c r="T18" s="178"/>
    </row>
    <row r="19" spans="1:20" s="72" customFormat="1" ht="20.100000000000001" customHeight="1">
      <c r="A19" s="186" t="s">
        <v>157</v>
      </c>
      <c r="B19" s="187" t="s">
        <v>149</v>
      </c>
      <c r="C19" s="14"/>
      <c r="D19" s="1"/>
      <c r="E19" s="15"/>
      <c r="F19" s="14"/>
      <c r="G19" s="39"/>
      <c r="H19" s="63"/>
      <c r="I19" s="64"/>
      <c r="J19" s="66"/>
      <c r="K19" s="321" t="s">
        <v>134</v>
      </c>
      <c r="L19" s="177"/>
      <c r="M19" s="174"/>
      <c r="N19" s="14"/>
      <c r="O19" s="178"/>
      <c r="P19" s="69"/>
      <c r="Q19" s="178"/>
      <c r="R19" s="178"/>
      <c r="S19" s="70"/>
      <c r="T19" s="178"/>
    </row>
    <row r="20" spans="1:20" s="72" customFormat="1" ht="20.100000000000001" customHeight="1">
      <c r="A20" s="186" t="s">
        <v>158</v>
      </c>
      <c r="B20" s="187" t="s">
        <v>150</v>
      </c>
      <c r="C20" s="14"/>
      <c r="D20" s="1"/>
      <c r="E20" s="15"/>
      <c r="F20" s="14"/>
      <c r="G20" s="39"/>
      <c r="H20" s="63"/>
      <c r="I20" s="64"/>
      <c r="J20" s="66"/>
      <c r="K20" s="321" t="s">
        <v>135</v>
      </c>
      <c r="L20" s="177"/>
      <c r="M20" s="174"/>
      <c r="N20" s="14"/>
      <c r="O20" s="178"/>
      <c r="P20" s="69"/>
      <c r="Q20" s="178"/>
      <c r="R20" s="178"/>
      <c r="S20" s="70"/>
      <c r="T20" s="178"/>
    </row>
    <row r="21" spans="1:20" s="72" customFormat="1" ht="20.100000000000001" customHeight="1">
      <c r="A21" s="186" t="s">
        <v>159</v>
      </c>
      <c r="B21" s="187" t="s">
        <v>160</v>
      </c>
      <c r="C21" s="14"/>
      <c r="D21" s="1"/>
      <c r="E21" s="15"/>
      <c r="F21" s="14"/>
      <c r="G21" s="39"/>
      <c r="H21" s="63"/>
      <c r="I21" s="64"/>
      <c r="J21" s="66"/>
      <c r="K21" s="321" t="s">
        <v>136</v>
      </c>
      <c r="L21" s="177"/>
      <c r="M21" s="174"/>
      <c r="N21" s="14"/>
      <c r="O21" s="178"/>
      <c r="P21" s="69"/>
      <c r="Q21" s="178"/>
      <c r="R21" s="178"/>
      <c r="S21" s="70"/>
      <c r="T21" s="178"/>
    </row>
    <row r="22" spans="1:20" s="72" customFormat="1" ht="20.100000000000001" customHeight="1">
      <c r="A22" s="1" t="s">
        <v>260</v>
      </c>
      <c r="B22" s="29" t="b">
        <v>0</v>
      </c>
      <c r="C22" s="14"/>
      <c r="D22" s="1"/>
      <c r="E22" s="15"/>
      <c r="F22" s="14"/>
      <c r="G22" s="39"/>
      <c r="H22" s="63"/>
      <c r="I22" s="64"/>
      <c r="J22" s="66"/>
      <c r="K22" s="321" t="s">
        <v>137</v>
      </c>
      <c r="L22" s="177"/>
      <c r="M22" s="174"/>
      <c r="N22" s="14"/>
      <c r="O22" s="178"/>
      <c r="P22" s="69"/>
      <c r="Q22" s="178"/>
      <c r="R22" s="178"/>
      <c r="S22" s="70"/>
      <c r="T22" s="178"/>
    </row>
    <row r="23" spans="1:20" s="72" customFormat="1" ht="20.100000000000001" customHeight="1">
      <c r="A23" s="1" t="s">
        <v>38</v>
      </c>
      <c r="B23" s="12" t="b">
        <v>0</v>
      </c>
      <c r="C23" s="14"/>
      <c r="D23" s="1"/>
      <c r="E23" s="15"/>
      <c r="F23" s="14"/>
      <c r="G23" s="39"/>
      <c r="H23" s="63"/>
      <c r="I23" s="64"/>
      <c r="J23" s="66"/>
      <c r="K23" s="321" t="s">
        <v>138</v>
      </c>
      <c r="L23" s="177"/>
      <c r="M23" s="174"/>
      <c r="N23" s="14"/>
      <c r="O23" s="178"/>
      <c r="P23" s="69"/>
      <c r="Q23" s="178"/>
      <c r="R23" s="178"/>
      <c r="S23" s="70"/>
      <c r="T23" s="178"/>
    </row>
    <row r="24" spans="1:20" s="72" customFormat="1" ht="20.100000000000001" customHeight="1">
      <c r="A24" s="1" t="s">
        <v>33</v>
      </c>
      <c r="B24" s="12" t="b">
        <v>0</v>
      </c>
      <c r="C24" s="14"/>
      <c r="D24" s="1"/>
      <c r="E24" s="15"/>
      <c r="F24" s="14"/>
      <c r="G24" s="39"/>
      <c r="H24" s="63"/>
      <c r="I24" s="64"/>
      <c r="J24" s="66"/>
      <c r="K24" s="322" t="s">
        <v>139</v>
      </c>
      <c r="L24" s="177"/>
      <c r="M24" s="174"/>
      <c r="N24" s="14"/>
      <c r="O24" s="178"/>
      <c r="P24" s="69"/>
      <c r="Q24" s="178"/>
      <c r="R24" s="178"/>
      <c r="S24" s="70"/>
      <c r="T24" s="178"/>
    </row>
    <row r="25" spans="1:20" s="72" customFormat="1" ht="20.100000000000001" customHeight="1">
      <c r="A25" s="1" t="s">
        <v>39</v>
      </c>
      <c r="B25" s="12">
        <v>10222585</v>
      </c>
      <c r="C25" s="14"/>
      <c r="D25" s="1"/>
      <c r="E25" s="15"/>
      <c r="F25" s="14"/>
      <c r="G25" s="39"/>
      <c r="H25" s="63"/>
      <c r="I25" s="64"/>
      <c r="J25" s="66"/>
      <c r="K25" s="323" t="s">
        <v>140</v>
      </c>
      <c r="L25" s="177"/>
      <c r="M25" s="174"/>
      <c r="N25" s="14"/>
      <c r="O25" s="178"/>
      <c r="P25" s="69"/>
      <c r="Q25" s="178"/>
      <c r="R25" s="178"/>
      <c r="S25" s="70"/>
      <c r="T25" s="178"/>
    </row>
    <row r="26" spans="1:20" s="72" customFormat="1" ht="20.100000000000001" customHeight="1">
      <c r="A26" s="1" t="s">
        <v>40</v>
      </c>
      <c r="B26" s="12">
        <v>16774635</v>
      </c>
      <c r="C26" s="14"/>
      <c r="D26" s="1"/>
      <c r="E26" s="15"/>
      <c r="F26" s="14"/>
      <c r="G26" s="39"/>
      <c r="H26" s="63"/>
      <c r="I26" s="64"/>
      <c r="J26" s="66"/>
      <c r="K26" s="323" t="s">
        <v>141</v>
      </c>
      <c r="L26" s="177"/>
      <c r="M26" s="174"/>
      <c r="N26" s="14"/>
      <c r="O26" s="178"/>
      <c r="P26" s="69"/>
      <c r="Q26" s="178"/>
      <c r="R26" s="178"/>
      <c r="S26" s="70"/>
      <c r="T26" s="178"/>
    </row>
    <row r="27" spans="1:20" s="72" customFormat="1" ht="20.100000000000001" customHeight="1">
      <c r="A27" s="1" t="s">
        <v>41</v>
      </c>
      <c r="B27" s="12">
        <v>16314622</v>
      </c>
      <c r="C27" s="14"/>
      <c r="D27" s="1"/>
      <c r="E27" s="15"/>
      <c r="F27" s="14"/>
      <c r="G27" s="39"/>
      <c r="H27" s="63"/>
      <c r="I27" s="64"/>
      <c r="J27" s="66"/>
      <c r="K27" s="323" t="s">
        <v>142</v>
      </c>
      <c r="L27" s="177"/>
      <c r="M27" s="174"/>
      <c r="N27" s="14"/>
      <c r="O27" s="178"/>
      <c r="P27" s="69"/>
      <c r="Q27" s="178"/>
      <c r="R27" s="178"/>
      <c r="S27" s="70"/>
      <c r="T27" s="178"/>
    </row>
    <row r="28" spans="1:20" s="72" customFormat="1" ht="20.100000000000001" customHeight="1">
      <c r="A28" s="1" t="s">
        <v>42</v>
      </c>
      <c r="B28" s="12">
        <v>14540253</v>
      </c>
      <c r="C28" s="14"/>
      <c r="D28" s="1"/>
      <c r="E28" s="15"/>
      <c r="F28" s="14"/>
      <c r="G28" s="39"/>
      <c r="H28" s="63"/>
      <c r="I28" s="64"/>
      <c r="J28" s="66"/>
      <c r="K28" s="324" t="s">
        <v>30</v>
      </c>
      <c r="L28" s="177"/>
      <c r="M28" s="174"/>
      <c r="N28" s="14"/>
      <c r="O28" s="178"/>
      <c r="P28" s="69"/>
      <c r="Q28" s="178"/>
      <c r="R28" s="178"/>
      <c r="S28" s="70"/>
      <c r="T28" s="178"/>
    </row>
    <row r="29" spans="1:20" s="72" customFormat="1" ht="20.100000000000001" customHeight="1">
      <c r="A29" s="1" t="s">
        <v>34</v>
      </c>
      <c r="B29" s="12">
        <v>6680933</v>
      </c>
      <c r="C29" s="14"/>
      <c r="D29" s="1"/>
      <c r="E29" s="15"/>
      <c r="F29" s="14"/>
      <c r="G29" s="39"/>
      <c r="H29" s="63"/>
      <c r="I29" s="64"/>
      <c r="J29" s="66"/>
      <c r="K29" s="325" t="s">
        <v>101</v>
      </c>
      <c r="L29" s="177"/>
      <c r="M29" s="174"/>
      <c r="N29" s="14"/>
      <c r="O29" s="178"/>
      <c r="P29" s="69"/>
      <c r="Q29" s="178"/>
      <c r="R29" s="178"/>
      <c r="S29" s="70"/>
      <c r="T29" s="178"/>
    </row>
    <row r="30" spans="1:20" s="72" customFormat="1" ht="20.100000000000001" customHeight="1">
      <c r="A30" s="1" t="s">
        <v>35</v>
      </c>
      <c r="B30" s="12">
        <v>10053375</v>
      </c>
      <c r="C30" s="14"/>
      <c r="D30" s="1"/>
      <c r="E30" s="15"/>
      <c r="F30" s="14"/>
      <c r="G30" s="39"/>
      <c r="H30" s="63"/>
      <c r="I30" s="64"/>
      <c r="J30" s="66"/>
      <c r="K30" s="326" t="s">
        <v>111</v>
      </c>
      <c r="L30" s="177"/>
      <c r="M30" s="174"/>
      <c r="N30" s="14"/>
      <c r="O30" s="178"/>
      <c r="P30" s="69"/>
      <c r="Q30" s="178"/>
      <c r="R30" s="178"/>
      <c r="S30" s="70"/>
      <c r="T30" s="178"/>
    </row>
    <row r="31" spans="1:20" s="72" customFormat="1" ht="20.100000000000001" customHeight="1">
      <c r="A31" s="114" t="s">
        <v>36</v>
      </c>
      <c r="B31" s="115">
        <v>255</v>
      </c>
      <c r="C31" s="14"/>
      <c r="D31" s="1"/>
      <c r="E31" s="15"/>
      <c r="F31" s="14"/>
      <c r="G31" s="39"/>
      <c r="H31" s="63"/>
      <c r="I31" s="64"/>
      <c r="J31" s="66"/>
      <c r="K31" s="327" t="s">
        <v>112</v>
      </c>
      <c r="L31" s="177"/>
      <c r="M31" s="174"/>
      <c r="N31" s="14"/>
      <c r="O31" s="178"/>
      <c r="P31" s="69"/>
      <c r="Q31" s="178"/>
      <c r="R31" s="178"/>
      <c r="S31" s="70"/>
      <c r="T31" s="178"/>
    </row>
    <row r="32" spans="1:20" s="72" customFormat="1" ht="20.100000000000001" customHeight="1">
      <c r="A32" s="114" t="s">
        <v>37</v>
      </c>
      <c r="B32" s="115">
        <v>16777164</v>
      </c>
      <c r="C32" s="14"/>
      <c r="D32" s="1"/>
      <c r="E32" s="15"/>
      <c r="F32" s="14"/>
      <c r="G32" s="39"/>
      <c r="H32" s="63"/>
      <c r="I32" s="64"/>
      <c r="J32" s="66"/>
      <c r="K32" s="327" t="s">
        <v>113</v>
      </c>
      <c r="L32" s="177"/>
      <c r="M32" s="174"/>
      <c r="N32" s="14"/>
      <c r="O32" s="178"/>
      <c r="P32" s="69"/>
      <c r="Q32" s="178"/>
      <c r="R32" s="178"/>
      <c r="S32" s="70"/>
      <c r="T32" s="178"/>
    </row>
    <row r="33" spans="1:20" s="72" customFormat="1" ht="20.100000000000001" customHeight="1">
      <c r="A33" s="114" t="s">
        <v>43</v>
      </c>
      <c r="B33" s="115">
        <v>16777215</v>
      </c>
      <c r="C33" s="14"/>
      <c r="D33" s="1"/>
      <c r="E33" s="15"/>
      <c r="F33" s="14"/>
      <c r="G33" s="39"/>
      <c r="H33" s="63"/>
      <c r="I33" s="64"/>
      <c r="J33" s="66"/>
      <c r="K33" s="327" t="s">
        <v>164</v>
      </c>
      <c r="L33" s="177"/>
      <c r="M33" s="174"/>
      <c r="N33" s="14"/>
      <c r="O33" s="178"/>
      <c r="P33" s="69"/>
      <c r="Q33" s="178"/>
      <c r="R33" s="178"/>
      <c r="S33" s="70"/>
      <c r="T33" s="178"/>
    </row>
    <row r="34" spans="1:20" s="72" customFormat="1" ht="20.100000000000001" customHeight="1">
      <c r="A34" s="114" t="s">
        <v>44</v>
      </c>
      <c r="B34" s="115">
        <v>16777215</v>
      </c>
      <c r="C34" s="14"/>
      <c r="D34" s="1"/>
      <c r="E34" s="15"/>
      <c r="F34" s="14"/>
      <c r="G34" s="39"/>
      <c r="H34" s="63"/>
      <c r="I34" s="64"/>
      <c r="J34" s="66"/>
      <c r="K34" s="327" t="s">
        <v>114</v>
      </c>
      <c r="L34" s="177"/>
      <c r="M34" s="174"/>
      <c r="N34" s="14"/>
      <c r="O34" s="178"/>
      <c r="P34" s="69"/>
      <c r="Q34" s="178"/>
      <c r="R34" s="178"/>
      <c r="S34" s="70"/>
      <c r="T34" s="178"/>
    </row>
    <row r="35" spans="1:20" s="72" customFormat="1" ht="20.100000000000001" customHeight="1">
      <c r="A35" s="1" t="s">
        <v>102</v>
      </c>
      <c r="B35" s="12" t="b">
        <v>0</v>
      </c>
      <c r="C35" s="14"/>
      <c r="D35" s="1"/>
      <c r="E35" s="15"/>
      <c r="F35" s="14"/>
      <c r="G35" s="39"/>
      <c r="H35" s="63"/>
      <c r="I35" s="64"/>
      <c r="J35" s="66"/>
      <c r="K35" s="327" t="s">
        <v>115</v>
      </c>
      <c r="L35" s="177"/>
      <c r="M35" s="174"/>
      <c r="N35" s="14"/>
      <c r="O35" s="178"/>
      <c r="P35" s="69"/>
      <c r="Q35" s="178"/>
      <c r="R35" s="178"/>
      <c r="S35" s="70"/>
      <c r="T35" s="178"/>
    </row>
    <row r="36" spans="1:20" s="72" customFormat="1" ht="20.100000000000001" customHeight="1">
      <c r="A36" s="1" t="s">
        <v>103</v>
      </c>
      <c r="B36" s="12" t="b">
        <v>0</v>
      </c>
      <c r="C36" s="14"/>
      <c r="D36" s="1"/>
      <c r="E36" s="15"/>
      <c r="F36" s="14"/>
      <c r="G36" s="39"/>
      <c r="H36" s="63"/>
      <c r="I36" s="64"/>
      <c r="J36" s="66"/>
      <c r="K36" s="327" t="s">
        <v>116</v>
      </c>
      <c r="L36" s="177"/>
      <c r="M36" s="174"/>
      <c r="N36" s="14"/>
      <c r="O36" s="178"/>
      <c r="P36" s="69"/>
      <c r="Q36" s="178"/>
      <c r="R36" s="178"/>
      <c r="S36" s="70"/>
      <c r="T36" s="178"/>
    </row>
    <row r="37" spans="1:20" ht="20.100000000000001" customHeight="1">
      <c r="A37" s="1" t="s">
        <v>104</v>
      </c>
      <c r="B37" s="12" t="b">
        <v>1</v>
      </c>
      <c r="D37" s="1"/>
      <c r="E37" s="15"/>
      <c r="F37" s="14"/>
      <c r="G37" s="39"/>
      <c r="H37" s="63"/>
      <c r="I37" s="64"/>
      <c r="K37" s="327" t="s">
        <v>117</v>
      </c>
      <c r="L37" s="177"/>
      <c r="M37" s="174"/>
      <c r="O37" s="178"/>
      <c r="Q37" s="178"/>
      <c r="R37" s="178"/>
      <c r="T37" s="178"/>
    </row>
    <row r="38" spans="1:20" ht="20.100000000000001" customHeight="1">
      <c r="A38" s="1" t="s">
        <v>110</v>
      </c>
      <c r="B38" s="12" t="b">
        <v>1</v>
      </c>
      <c r="D38" s="1"/>
      <c r="E38" s="15"/>
      <c r="F38" s="14"/>
      <c r="G38" s="39"/>
      <c r="H38" s="63"/>
      <c r="I38" s="64"/>
      <c r="K38" s="328" t="s">
        <v>118</v>
      </c>
      <c r="L38" s="177"/>
      <c r="M38" s="174"/>
      <c r="O38" s="178"/>
      <c r="Q38" s="178"/>
      <c r="R38" s="178"/>
      <c r="T38" s="178"/>
    </row>
    <row r="39" spans="1:20" ht="20.100000000000001" customHeight="1">
      <c r="A39" s="1" t="s">
        <v>105</v>
      </c>
      <c r="B39" s="12" t="b">
        <v>1</v>
      </c>
      <c r="K39" s="4"/>
    </row>
    <row r="40" spans="1:20" ht="20.100000000000001" customHeight="1">
      <c r="A40" s="1" t="s">
        <v>106</v>
      </c>
      <c r="B40" s="12" t="b">
        <v>1</v>
      </c>
      <c r="K40" s="4"/>
    </row>
    <row r="41" spans="1:20" ht="20.100000000000001" customHeight="1">
      <c r="A41" s="114" t="s">
        <v>167</v>
      </c>
      <c r="B41" s="12" t="b">
        <v>1</v>
      </c>
      <c r="K41" s="4"/>
    </row>
    <row r="42" spans="1:20" ht="20.100000000000001" customHeight="1">
      <c r="A42" s="1" t="s">
        <v>107</v>
      </c>
      <c r="B42" s="12" t="b">
        <v>1</v>
      </c>
      <c r="K42" s="4"/>
    </row>
    <row r="43" spans="1:20" ht="20.100000000000001" customHeight="1">
      <c r="A43" s="1" t="s">
        <v>108</v>
      </c>
      <c r="B43" s="12" t="b">
        <v>1</v>
      </c>
      <c r="K43" s="4"/>
    </row>
    <row r="44" spans="1:20" ht="20.100000000000001" customHeight="1">
      <c r="A44" s="1" t="s">
        <v>109</v>
      </c>
      <c r="B44" s="12" t="b">
        <v>0</v>
      </c>
      <c r="K44" s="4"/>
    </row>
    <row r="45" spans="1:20" ht="20.100000000000001" customHeight="1">
      <c r="A45" s="114" t="s">
        <v>185</v>
      </c>
      <c r="B45" s="12" t="b">
        <v>1</v>
      </c>
      <c r="K45" s="4"/>
    </row>
    <row r="46" spans="1:20" ht="20.100000000000001" customHeight="1">
      <c r="A46" s="1" t="s">
        <v>162</v>
      </c>
      <c r="B46" s="12" t="b">
        <v>0</v>
      </c>
      <c r="K46" s="4"/>
    </row>
    <row r="47" spans="1:20" ht="20.100000000000001" customHeight="1">
      <c r="A47" s="1" t="s">
        <v>153</v>
      </c>
      <c r="B47" s="12" t="b">
        <v>0</v>
      </c>
      <c r="K47" s="4"/>
    </row>
    <row r="48" spans="1:20" ht="20.100000000000001" customHeight="1">
      <c r="A48" s="1"/>
      <c r="B48" s="12"/>
      <c r="K48" s="4"/>
    </row>
    <row r="49" spans="1:11" ht="20.100000000000001" customHeight="1">
      <c r="A49" s="132"/>
      <c r="B49" s="133"/>
      <c r="K49" s="4"/>
    </row>
    <row r="50" spans="1:11" ht="20.100000000000001" customHeight="1">
      <c r="A50" s="132"/>
      <c r="B50" s="133"/>
      <c r="K50" s="4"/>
    </row>
    <row r="51" spans="1:11" ht="20.100000000000001" customHeight="1">
      <c r="A51" s="132"/>
      <c r="B51" s="133"/>
      <c r="K51" s="4"/>
    </row>
    <row r="52" spans="1:11" ht="20.100000000000001" customHeight="1">
      <c r="A52" s="188" t="s">
        <v>183</v>
      </c>
      <c r="B52" s="189" t="s">
        <v>184</v>
      </c>
      <c r="K52" s="4"/>
    </row>
    <row r="53" spans="1:11" ht="20.100000000000001" customHeight="1">
      <c r="A53" s="188" t="s">
        <v>182</v>
      </c>
      <c r="B53" s="189" t="s">
        <v>58</v>
      </c>
      <c r="K53" s="4"/>
    </row>
    <row r="54" spans="1:11" ht="20.100000000000001" customHeight="1">
      <c r="A54" s="188" t="s">
        <v>181</v>
      </c>
      <c r="B54" s="189" t="s">
        <v>59</v>
      </c>
      <c r="K54" s="4"/>
    </row>
    <row r="55" spans="1:11" ht="20.100000000000001" customHeight="1">
      <c r="A55" s="190" t="s">
        <v>275</v>
      </c>
      <c r="B55" s="191" t="s">
        <v>276</v>
      </c>
      <c r="K55" s="4"/>
    </row>
    <row r="56" spans="1:11" ht="20.100000000000001" customHeight="1">
      <c r="A56" s="114" t="s">
        <v>277</v>
      </c>
      <c r="B56" s="115" t="s">
        <v>278</v>
      </c>
      <c r="K56" s="4"/>
    </row>
    <row r="57" spans="1:11" ht="20.100000000000001" customHeight="1">
      <c r="A57" s="114" t="s">
        <v>279</v>
      </c>
      <c r="B57" s="115" t="s">
        <v>280</v>
      </c>
      <c r="K57" s="4"/>
    </row>
    <row r="58" spans="1:11" ht="20.100000000000001" customHeight="1">
      <c r="A58" s="114" t="s">
        <v>96</v>
      </c>
      <c r="B58" s="115" t="s">
        <v>281</v>
      </c>
      <c r="K58" s="4"/>
    </row>
    <row r="59" spans="1:11" ht="20.100000000000001" customHeight="1">
      <c r="A59" s="114" t="s">
        <v>282</v>
      </c>
      <c r="B59" s="115" t="s">
        <v>283</v>
      </c>
      <c r="K59" s="4"/>
    </row>
    <row r="60" spans="1:11" ht="20.100000000000001" customHeight="1">
      <c r="A60" s="1" t="s">
        <v>284</v>
      </c>
      <c r="B60" s="12" t="s">
        <v>285</v>
      </c>
      <c r="K60" s="4"/>
    </row>
    <row r="61" spans="1:11" ht="20.100000000000001" customHeight="1">
      <c r="A61" s="1" t="s">
        <v>286</v>
      </c>
      <c r="B61" s="12" t="s">
        <v>179</v>
      </c>
      <c r="K61" s="4"/>
    </row>
    <row r="62" spans="1:11" ht="20.100000000000001" customHeight="1">
      <c r="A62" s="1" t="s">
        <v>287</v>
      </c>
      <c r="B62" s="12" t="s">
        <v>288</v>
      </c>
      <c r="K62" s="4"/>
    </row>
    <row r="63" spans="1:11" ht="20.100000000000001" customHeight="1">
      <c r="A63" s="1" t="s">
        <v>289</v>
      </c>
      <c r="B63" s="12" t="s">
        <v>290</v>
      </c>
      <c r="K63" s="4"/>
    </row>
    <row r="64" spans="1:11" ht="20.100000000000001" customHeight="1">
      <c r="A64" s="1" t="s">
        <v>291</v>
      </c>
      <c r="B64" s="12" t="s">
        <v>292</v>
      </c>
      <c r="K64" s="4"/>
    </row>
    <row r="65" spans="1:11" ht="20.100000000000001" customHeight="1">
      <c r="A65" s="1" t="s">
        <v>293</v>
      </c>
      <c r="B65" s="12" t="s">
        <v>294</v>
      </c>
      <c r="K65" s="4"/>
    </row>
    <row r="66" spans="1:11" ht="20.100000000000001" customHeight="1">
      <c r="A66" s="1" t="s">
        <v>295</v>
      </c>
      <c r="B66" s="12" t="s">
        <v>296</v>
      </c>
      <c r="K66" s="4"/>
    </row>
    <row r="67" spans="1:11" ht="20.100000000000001" customHeight="1">
      <c r="A67" s="1" t="s">
        <v>297</v>
      </c>
      <c r="B67" s="12" t="s">
        <v>298</v>
      </c>
      <c r="K67" s="4"/>
    </row>
    <row r="68" spans="1:11" ht="20.100000000000001" customHeight="1">
      <c r="A68" s="1" t="s">
        <v>299</v>
      </c>
      <c r="B68" s="12" t="s">
        <v>300</v>
      </c>
      <c r="K68" s="4"/>
    </row>
    <row r="69" spans="1:11" ht="20.100000000000001" customHeight="1">
      <c r="A69" s="1" t="s">
        <v>301</v>
      </c>
      <c r="B69" s="12" t="s">
        <v>302</v>
      </c>
      <c r="K69" s="4"/>
    </row>
    <row r="70" spans="1:11" ht="20.100000000000001" customHeight="1">
      <c r="A70" s="1" t="s">
        <v>303</v>
      </c>
      <c r="B70" s="12" t="s">
        <v>304</v>
      </c>
      <c r="K70" s="4"/>
    </row>
    <row r="71" spans="1:11" ht="20.100000000000001" customHeight="1">
      <c r="A71" s="1" t="s">
        <v>305</v>
      </c>
      <c r="B71" s="12" t="s">
        <v>306</v>
      </c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4 B35:B47">
      <formula1>"TRUE,FALSE"</formula1>
    </dataValidation>
    <dataValidation imeMode="off" allowBlank="1" showInputMessage="1" showErrorMessage="1" sqref="I3:I12"/>
    <dataValidation type="list" allowBlank="1" showInputMessage="1" showErrorMessage="1" sqref="B4">
      <formula1>"default,CD部"</formula1>
    </dataValidation>
    <dataValidation type="list" allowBlank="1" showInputMessage="1" showErrorMessage="1" sqref="B9">
      <formula1>"Normal,TeamsPlanner"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/>
  <cols>
    <col min="1" max="1" width="4.625" style="19" customWidth="1"/>
    <col min="2" max="3" width="3.625" style="19" customWidth="1"/>
    <col min="4" max="4" width="3.625" style="19" hidden="1" customWidth="1"/>
    <col min="5" max="5" width="40.625" style="19" customWidth="1"/>
    <col min="6" max="7" width="6.625" style="20" customWidth="1"/>
    <col min="8" max="8" width="10.625" style="20" customWidth="1"/>
    <col min="9" max="10" width="6.625" style="20" hidden="1" customWidth="1"/>
    <col min="11" max="12" width="8.625" style="20" hidden="1" customWidth="1"/>
    <col min="13" max="14" width="10.625" style="60" hidden="1" customWidth="1"/>
    <col min="15" max="16" width="8.625" style="20" hidden="1" customWidth="1"/>
    <col min="17" max="18" width="7.625" style="20" hidden="1" customWidth="1"/>
    <col min="19" max="19" width="10.625" style="20" hidden="1" customWidth="1"/>
    <col min="20" max="20" width="40.625" style="19" customWidth="1"/>
    <col min="21" max="16384" width="3.125" style="17"/>
  </cols>
  <sheetData>
    <row r="1" spans="1:21" s="134" customFormat="1" ht="20.100000000000001" customHeight="1">
      <c r="A1" s="57"/>
      <c r="B1" s="33"/>
      <c r="C1" s="33"/>
      <c r="D1" s="33"/>
      <c r="E1" s="33"/>
      <c r="F1" s="306"/>
      <c r="G1" s="33"/>
      <c r="H1" s="33"/>
      <c r="I1" s="33"/>
      <c r="J1" s="33"/>
      <c r="K1" s="33"/>
      <c r="L1" s="74"/>
      <c r="M1" s="74"/>
      <c r="N1" s="74"/>
      <c r="O1" s="33"/>
      <c r="P1" s="33"/>
      <c r="Q1" s="33"/>
      <c r="R1" s="33"/>
      <c r="S1" s="33"/>
      <c r="T1" s="252"/>
      <c r="U1" s="180"/>
    </row>
    <row r="2" spans="1:21" s="134" customFormat="1" ht="20.100000000000001" customHeight="1">
      <c r="A2" s="285" t="s">
        <v>209</v>
      </c>
      <c r="B2" s="285" t="s">
        <v>0</v>
      </c>
      <c r="C2" s="282" t="s">
        <v>95</v>
      </c>
      <c r="D2" s="282" t="s">
        <v>180</v>
      </c>
      <c r="E2" s="286" t="s">
        <v>45</v>
      </c>
      <c r="F2" s="99" t="s">
        <v>2</v>
      </c>
      <c r="G2" s="307"/>
      <c r="H2" s="287" t="s">
        <v>1</v>
      </c>
      <c r="I2" s="99" t="s">
        <v>20</v>
      </c>
      <c r="J2" s="307"/>
      <c r="K2" s="99" t="s">
        <v>27</v>
      </c>
      <c r="L2" s="307"/>
      <c r="M2" s="286" t="s">
        <v>166</v>
      </c>
      <c r="N2" s="286" t="s">
        <v>92</v>
      </c>
      <c r="O2" s="99" t="s">
        <v>97</v>
      </c>
      <c r="P2" s="308"/>
      <c r="Q2" s="99" t="s">
        <v>21</v>
      </c>
      <c r="R2" s="308"/>
      <c r="S2" s="309" t="s">
        <v>32</v>
      </c>
      <c r="T2" s="282" t="s">
        <v>22</v>
      </c>
      <c r="U2" s="180"/>
    </row>
    <row r="3" spans="1:21" s="134" customFormat="1" ht="20.100000000000001" customHeight="1">
      <c r="A3" s="285"/>
      <c r="B3" s="285"/>
      <c r="C3" s="282"/>
      <c r="D3" s="282"/>
      <c r="E3" s="286"/>
      <c r="F3" s="100" t="s">
        <v>3</v>
      </c>
      <c r="G3" s="273" t="s">
        <v>4</v>
      </c>
      <c r="H3" s="288"/>
      <c r="I3" s="100" t="s">
        <v>23</v>
      </c>
      <c r="J3" s="273" t="s">
        <v>24</v>
      </c>
      <c r="K3" s="100" t="s">
        <v>28</v>
      </c>
      <c r="L3" s="273" t="s">
        <v>29</v>
      </c>
      <c r="M3" s="286"/>
      <c r="N3" s="286"/>
      <c r="O3" s="100" t="s">
        <v>98</v>
      </c>
      <c r="P3" s="273" t="s">
        <v>99</v>
      </c>
      <c r="Q3" s="100" t="s">
        <v>25</v>
      </c>
      <c r="R3" s="273" t="s">
        <v>26</v>
      </c>
      <c r="S3" s="292"/>
      <c r="T3" s="282"/>
      <c r="U3" s="180"/>
    </row>
    <row r="4" spans="1:21" s="134" customFormat="1" ht="20.100000000000001" customHeight="1">
      <c r="A4" s="18"/>
      <c r="B4" s="18"/>
      <c r="C4" s="18"/>
      <c r="D4" s="75"/>
      <c r="E4" s="135"/>
      <c r="F4" s="310"/>
      <c r="G4" s="311"/>
      <c r="H4" s="117"/>
      <c r="I4" s="310"/>
      <c r="J4" s="311"/>
      <c r="K4" s="310"/>
      <c r="L4" s="311"/>
      <c r="M4" s="112"/>
      <c r="N4" s="77"/>
      <c r="O4" s="101"/>
      <c r="P4" s="312"/>
      <c r="Q4" s="101"/>
      <c r="R4" s="312"/>
      <c r="S4" s="102"/>
      <c r="T4" s="170"/>
      <c r="U4" s="180"/>
    </row>
    <row r="5" spans="1:21" s="134" customFormat="1" ht="35.1" customHeight="1">
      <c r="A5" s="283" t="s">
        <v>204</v>
      </c>
      <c r="B5" s="283"/>
      <c r="C5" s="283"/>
      <c r="D5" s="284"/>
      <c r="E5" s="284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169"/>
      <c r="T5" s="253"/>
      <c r="U5" s="180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3"/>
    <dataValidation imeMode="off" allowBlank="1" showInputMessage="1" showErrorMessage="1" sqref="I4:T4 F4:G4"/>
    <dataValidation imeMode="on" allowBlank="1" showDropDown="1" showInputMessage="1" showErrorMessage="1" sqref="D4:E4"/>
    <dataValidation type="list" allowBlank="1" showInput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90" zoomScaleNormal="90" workbookViewId="0">
      <selection activeCell="E14" sqref="E14"/>
    </sheetView>
  </sheetViews>
  <sheetFormatPr defaultColWidth="3.125" defaultRowHeight="20.100000000000001" customHeight="1"/>
  <cols>
    <col min="1" max="1" width="4.625" style="19" customWidth="1"/>
    <col min="2" max="4" width="3.625" style="19" customWidth="1"/>
    <col min="5" max="5" width="40.625" style="19" customWidth="1"/>
    <col min="6" max="7" width="6.625" style="24" customWidth="1"/>
    <col min="8" max="8" width="10.625" style="20" customWidth="1"/>
    <col min="9" max="10" width="6.625" style="24" customWidth="1"/>
    <col min="11" max="12" width="6.625" style="25" customWidth="1"/>
    <col min="13" max="14" width="10.625" style="60" customWidth="1"/>
    <col min="15" max="15" width="8.625" style="20" customWidth="1"/>
    <col min="16" max="16" width="8.625" style="84" customWidth="1"/>
    <col min="17" max="18" width="7.625" style="41" customWidth="1"/>
    <col min="19" max="19" width="10.625" style="42" customWidth="1"/>
    <col min="20" max="20" width="40.625" style="19" customWidth="1"/>
    <col min="21" max="16384" width="3.125" style="17"/>
  </cols>
  <sheetData>
    <row r="1" spans="1:20" ht="20.100000000000001" customHeight="1">
      <c r="A1" s="57"/>
      <c r="B1" s="33"/>
      <c r="C1" s="33"/>
      <c r="D1" s="33"/>
      <c r="E1" s="33"/>
      <c r="F1" s="22"/>
      <c r="G1" s="58"/>
      <c r="H1" s="33"/>
      <c r="I1" s="58"/>
      <c r="J1" s="58"/>
      <c r="K1" s="59"/>
      <c r="L1" s="61"/>
      <c r="M1" s="74"/>
      <c r="N1" s="74"/>
      <c r="O1" s="33"/>
      <c r="P1" s="83"/>
      <c r="Q1" s="36"/>
      <c r="R1" s="36"/>
      <c r="S1" s="38"/>
      <c r="T1" s="40"/>
    </row>
    <row r="2" spans="1:20" ht="20.100000000000001" customHeight="1">
      <c r="A2" s="285" t="s">
        <v>46</v>
      </c>
      <c r="B2" s="285" t="s">
        <v>0</v>
      </c>
      <c r="C2" s="282" t="s">
        <v>95</v>
      </c>
      <c r="D2" s="282" t="s">
        <v>180</v>
      </c>
      <c r="E2" s="286" t="s">
        <v>45</v>
      </c>
      <c r="F2" s="85" t="s">
        <v>2</v>
      </c>
      <c r="G2" s="86"/>
      <c r="H2" s="287" t="s">
        <v>1</v>
      </c>
      <c r="I2" s="85" t="s">
        <v>20</v>
      </c>
      <c r="J2" s="86"/>
      <c r="K2" s="87" t="s">
        <v>27</v>
      </c>
      <c r="L2" s="88"/>
      <c r="M2" s="286" t="s">
        <v>166</v>
      </c>
      <c r="N2" s="286" t="s">
        <v>92</v>
      </c>
      <c r="O2" s="99" t="s">
        <v>97</v>
      </c>
      <c r="P2" s="90"/>
      <c r="Q2" s="89" t="s">
        <v>21</v>
      </c>
      <c r="R2" s="91"/>
      <c r="S2" s="289" t="s">
        <v>32</v>
      </c>
      <c r="T2" s="291" t="s">
        <v>22</v>
      </c>
    </row>
    <row r="3" spans="1:20" s="27" customFormat="1" ht="20.100000000000001" customHeight="1">
      <c r="A3" s="285"/>
      <c r="B3" s="285"/>
      <c r="C3" s="282"/>
      <c r="D3" s="282"/>
      <c r="E3" s="286"/>
      <c r="F3" s="92" t="s">
        <v>3</v>
      </c>
      <c r="G3" s="93" t="s">
        <v>4</v>
      </c>
      <c r="H3" s="288"/>
      <c r="I3" s="92" t="s">
        <v>23</v>
      </c>
      <c r="J3" s="93" t="s">
        <v>24</v>
      </c>
      <c r="K3" s="94" t="s">
        <v>28</v>
      </c>
      <c r="L3" s="95" t="s">
        <v>29</v>
      </c>
      <c r="M3" s="286"/>
      <c r="N3" s="286"/>
      <c r="O3" s="100" t="s">
        <v>98</v>
      </c>
      <c r="P3" s="97" t="s">
        <v>99</v>
      </c>
      <c r="Q3" s="96" t="s">
        <v>25</v>
      </c>
      <c r="R3" s="98" t="s">
        <v>26</v>
      </c>
      <c r="S3" s="290"/>
      <c r="T3" s="292"/>
    </row>
    <row r="4" spans="1:20" s="28" customFormat="1" ht="20.100000000000001" customHeight="1">
      <c r="A4" s="18"/>
      <c r="B4" s="18"/>
      <c r="C4" s="18"/>
      <c r="D4" s="18"/>
      <c r="E4" s="116"/>
      <c r="F4" s="23"/>
      <c r="G4" s="78"/>
      <c r="H4" s="117"/>
      <c r="I4" s="23"/>
      <c r="J4" s="78"/>
      <c r="K4" s="26"/>
      <c r="L4" s="79"/>
      <c r="M4" s="112"/>
      <c r="N4" s="77"/>
      <c r="O4" s="101"/>
      <c r="P4" s="81"/>
      <c r="Q4" s="31"/>
      <c r="R4" s="80"/>
      <c r="S4" s="32"/>
      <c r="T4" s="43"/>
    </row>
    <row r="5" spans="1:20" ht="35.1" customHeight="1">
      <c r="A5" s="283" t="s">
        <v>204</v>
      </c>
      <c r="B5" s="283"/>
      <c r="C5" s="283"/>
      <c r="D5" s="284"/>
      <c r="E5" s="284"/>
      <c r="F5" s="35"/>
      <c r="G5" s="35"/>
      <c r="H5" s="35"/>
      <c r="I5" s="35"/>
      <c r="J5" s="30"/>
      <c r="K5" s="118"/>
      <c r="L5" s="118"/>
      <c r="M5" s="30"/>
      <c r="N5" s="30"/>
      <c r="O5" s="30"/>
      <c r="P5" s="82"/>
      <c r="Q5" s="37"/>
      <c r="R5" s="37"/>
      <c r="S5" s="119">
        <v>-9.6</v>
      </c>
      <c r="T5" s="30"/>
    </row>
    <row r="6" spans="1:20" s="28" customFormat="1" ht="20.100000000000001" customHeight="1">
      <c r="A6" s="18">
        <v>1</v>
      </c>
      <c r="B6" s="18">
        <v>1</v>
      </c>
      <c r="C6" s="75"/>
      <c r="D6" s="18">
        <f t="shared" ref="D6:D19" si="0">ROW()-5</f>
        <v>1</v>
      </c>
      <c r="E6" s="116" t="s">
        <v>80</v>
      </c>
      <c r="F6" s="23">
        <v>44076</v>
      </c>
      <c r="G6" s="78">
        <v>44098</v>
      </c>
      <c r="H6" s="117" t="s">
        <v>31</v>
      </c>
      <c r="I6" s="23"/>
      <c r="J6" s="78"/>
      <c r="K6" s="26"/>
      <c r="L6" s="79"/>
      <c r="M6" s="112"/>
      <c r="N6" s="77"/>
      <c r="O6" s="101"/>
      <c r="P6" s="81" t="s">
        <v>173</v>
      </c>
      <c r="Q6" s="31">
        <f>17</f>
        <v>17</v>
      </c>
      <c r="R6" s="80">
        <f>4</f>
        <v>4</v>
      </c>
      <c r="S6" s="32">
        <v>-7</v>
      </c>
      <c r="T6" s="43"/>
    </row>
    <row r="7" spans="1:20" s="28" customFormat="1" ht="20.100000000000001" customHeight="1">
      <c r="A7" s="18">
        <v>2</v>
      </c>
      <c r="B7" s="18">
        <v>2</v>
      </c>
      <c r="C7" s="75"/>
      <c r="D7" s="18">
        <f t="shared" si="0"/>
        <v>2</v>
      </c>
      <c r="E7" s="120" t="s">
        <v>81</v>
      </c>
      <c r="F7" s="23">
        <v>44076</v>
      </c>
      <c r="G7" s="78">
        <v>44083</v>
      </c>
      <c r="H7" s="117" t="s">
        <v>31</v>
      </c>
      <c r="I7" s="23"/>
      <c r="J7" s="78"/>
      <c r="K7" s="26"/>
      <c r="L7" s="79"/>
      <c r="M7" s="112"/>
      <c r="N7" s="77"/>
      <c r="O7" s="101">
        <v>6</v>
      </c>
      <c r="P7" s="81" t="s">
        <v>100</v>
      </c>
      <c r="Q7" s="31">
        <f>6</f>
        <v>6</v>
      </c>
      <c r="R7" s="80">
        <f>4</f>
        <v>4</v>
      </c>
      <c r="S7" s="32">
        <v>-7</v>
      </c>
      <c r="T7" s="43"/>
    </row>
    <row r="8" spans="1:20" s="28" customFormat="1" ht="20.100000000000001" customHeight="1">
      <c r="A8" s="18">
        <v>3</v>
      </c>
      <c r="B8" s="18">
        <v>3</v>
      </c>
      <c r="C8" s="75"/>
      <c r="D8" s="18">
        <f t="shared" si="0"/>
        <v>3</v>
      </c>
      <c r="E8" s="121" t="s">
        <v>154</v>
      </c>
      <c r="F8" s="23">
        <v>44076</v>
      </c>
      <c r="G8" s="78">
        <v>44077</v>
      </c>
      <c r="H8" s="117" t="s">
        <v>119</v>
      </c>
      <c r="I8" s="23"/>
      <c r="J8" s="78"/>
      <c r="K8" s="26"/>
      <c r="L8" s="79"/>
      <c r="M8" s="112"/>
      <c r="N8" s="77"/>
      <c r="O8" s="101">
        <v>7</v>
      </c>
      <c r="P8" s="81"/>
      <c r="Q8" s="31">
        <f>2</f>
        <v>2</v>
      </c>
      <c r="R8" s="80">
        <f>4</f>
        <v>4</v>
      </c>
      <c r="S8" s="32">
        <v>-4</v>
      </c>
      <c r="T8" s="43"/>
    </row>
    <row r="9" spans="1:20" s="28" customFormat="1" ht="20.100000000000001" customHeight="1">
      <c r="A9" s="18">
        <v>4</v>
      </c>
      <c r="B9" s="18">
        <v>3</v>
      </c>
      <c r="C9" s="75"/>
      <c r="D9" s="18">
        <f t="shared" si="0"/>
        <v>4</v>
      </c>
      <c r="E9" s="121" t="s">
        <v>206</v>
      </c>
      <c r="F9" s="23">
        <v>44078</v>
      </c>
      <c r="G9" s="78">
        <v>44081</v>
      </c>
      <c r="H9" s="117" t="s">
        <v>123</v>
      </c>
      <c r="I9" s="23"/>
      <c r="J9" s="78"/>
      <c r="K9" s="26"/>
      <c r="L9" s="79"/>
      <c r="M9" s="112"/>
      <c r="N9" s="77"/>
      <c r="O9" s="101">
        <v>7</v>
      </c>
      <c r="P9" s="81"/>
      <c r="Q9" s="31">
        <f>2</f>
        <v>2</v>
      </c>
      <c r="R9" s="80">
        <f>2</f>
        <v>2</v>
      </c>
      <c r="S9" s="32">
        <v>-2</v>
      </c>
      <c r="T9" s="43"/>
    </row>
    <row r="10" spans="1:20" s="28" customFormat="1" ht="20.100000000000001" customHeight="1">
      <c r="A10" s="18">
        <v>5</v>
      </c>
      <c r="B10" s="18">
        <v>3</v>
      </c>
      <c r="C10" s="75"/>
      <c r="D10" s="18">
        <f t="shared" si="0"/>
        <v>5</v>
      </c>
      <c r="E10" s="121" t="s">
        <v>207</v>
      </c>
      <c r="F10" s="23">
        <v>44081</v>
      </c>
      <c r="G10" s="78">
        <v>44083</v>
      </c>
      <c r="H10" s="117" t="s">
        <v>127</v>
      </c>
      <c r="I10" s="23"/>
      <c r="J10" s="78"/>
      <c r="K10" s="26"/>
      <c r="L10" s="79"/>
      <c r="M10" s="112"/>
      <c r="N10" s="77"/>
      <c r="O10" s="101">
        <v>7</v>
      </c>
      <c r="P10" s="81"/>
      <c r="Q10" s="31">
        <f>3</f>
        <v>3</v>
      </c>
      <c r="R10" s="80">
        <f>1</f>
        <v>1</v>
      </c>
      <c r="S10" s="32">
        <v>-1</v>
      </c>
      <c r="T10" s="43"/>
    </row>
    <row r="11" spans="1:20" ht="20.100000000000001" customHeight="1">
      <c r="A11" s="18">
        <v>6</v>
      </c>
      <c r="B11" s="18">
        <v>2</v>
      </c>
      <c r="C11" s="75"/>
      <c r="D11" s="18">
        <f t="shared" si="0"/>
        <v>6</v>
      </c>
      <c r="E11" s="120" t="s">
        <v>195</v>
      </c>
      <c r="F11" s="23">
        <v>44084</v>
      </c>
      <c r="G11" s="78">
        <v>44098</v>
      </c>
      <c r="H11" s="117" t="s">
        <v>31</v>
      </c>
      <c r="I11" s="23"/>
      <c r="J11" s="78"/>
      <c r="K11" s="26"/>
      <c r="L11" s="79"/>
      <c r="M11" s="112"/>
      <c r="N11" s="77"/>
      <c r="O11" s="101">
        <v>7</v>
      </c>
      <c r="P11" s="81" t="s">
        <v>174</v>
      </c>
      <c r="Q11" s="31">
        <f>11</f>
        <v>11</v>
      </c>
      <c r="R11" s="80">
        <f>4</f>
        <v>4</v>
      </c>
      <c r="S11" s="32">
        <v>0</v>
      </c>
      <c r="T11" s="43"/>
    </row>
    <row r="12" spans="1:20" s="28" customFormat="1" ht="20.100000000000001" customHeight="1">
      <c r="A12" s="18">
        <v>7</v>
      </c>
      <c r="B12" s="18">
        <v>3</v>
      </c>
      <c r="C12" s="75"/>
      <c r="D12" s="18">
        <f t="shared" si="0"/>
        <v>7</v>
      </c>
      <c r="E12" s="121" t="s">
        <v>146</v>
      </c>
      <c r="F12" s="23">
        <v>44084</v>
      </c>
      <c r="G12" s="78">
        <v>44092</v>
      </c>
      <c r="H12" s="117" t="s">
        <v>31</v>
      </c>
      <c r="I12" s="23"/>
      <c r="J12" s="78"/>
      <c r="K12" s="26"/>
      <c r="L12" s="79"/>
      <c r="M12" s="112"/>
      <c r="N12" s="77"/>
      <c r="O12" s="101">
        <v>11</v>
      </c>
      <c r="P12" s="81" t="s">
        <v>152</v>
      </c>
      <c r="Q12" s="31">
        <f>7</f>
        <v>7</v>
      </c>
      <c r="R12" s="80">
        <f>4</f>
        <v>4</v>
      </c>
      <c r="S12" s="32">
        <v>0</v>
      </c>
      <c r="T12" s="43"/>
    </row>
    <row r="13" spans="1:20" s="28" customFormat="1" ht="20.100000000000001" customHeight="1">
      <c r="A13" s="18">
        <v>8</v>
      </c>
      <c r="B13" s="18">
        <v>4</v>
      </c>
      <c r="C13" s="75"/>
      <c r="D13" s="18">
        <f t="shared" si="0"/>
        <v>8</v>
      </c>
      <c r="E13" s="122" t="s">
        <v>186</v>
      </c>
      <c r="F13" s="23">
        <v>44084</v>
      </c>
      <c r="G13" s="78">
        <v>44088</v>
      </c>
      <c r="H13" s="117" t="s">
        <v>168</v>
      </c>
      <c r="I13" s="23"/>
      <c r="J13" s="78"/>
      <c r="K13" s="26"/>
      <c r="L13" s="79"/>
      <c r="M13" s="112" t="s">
        <v>169</v>
      </c>
      <c r="N13" s="77"/>
      <c r="O13" s="101">
        <v>12</v>
      </c>
      <c r="P13" s="81"/>
      <c r="Q13" s="31">
        <f>3</f>
        <v>3</v>
      </c>
      <c r="R13" s="80"/>
      <c r="S13" s="32">
        <v>0</v>
      </c>
      <c r="T13" s="43"/>
    </row>
    <row r="14" spans="1:20" s="28" customFormat="1" ht="20.100000000000001" customHeight="1">
      <c r="A14" s="18">
        <v>9</v>
      </c>
      <c r="B14" s="18">
        <v>4</v>
      </c>
      <c r="C14" s="75"/>
      <c r="D14" s="18">
        <f t="shared" si="0"/>
        <v>9</v>
      </c>
      <c r="E14" s="122" t="s">
        <v>187</v>
      </c>
      <c r="F14" s="23">
        <v>44088</v>
      </c>
      <c r="G14" s="78">
        <v>44090</v>
      </c>
      <c r="H14" s="117" t="s">
        <v>123</v>
      </c>
      <c r="I14" s="23"/>
      <c r="J14" s="78"/>
      <c r="K14" s="26"/>
      <c r="L14" s="79"/>
      <c r="M14" s="112"/>
      <c r="N14" s="77"/>
      <c r="O14" s="101">
        <v>12</v>
      </c>
      <c r="P14" s="81"/>
      <c r="Q14" s="31">
        <f>3</f>
        <v>3</v>
      </c>
      <c r="R14" s="80"/>
      <c r="S14" s="32">
        <v>0</v>
      </c>
      <c r="T14" s="43"/>
    </row>
    <row r="15" spans="1:20" s="28" customFormat="1" ht="20.100000000000001" customHeight="1">
      <c r="A15" s="18">
        <v>10</v>
      </c>
      <c r="B15" s="18">
        <v>4</v>
      </c>
      <c r="C15" s="75"/>
      <c r="D15" s="18">
        <f t="shared" si="0"/>
        <v>10</v>
      </c>
      <c r="E15" s="122" t="s">
        <v>188</v>
      </c>
      <c r="F15" s="23">
        <v>44091</v>
      </c>
      <c r="G15" s="78">
        <v>44092</v>
      </c>
      <c r="H15" s="117" t="s">
        <v>127</v>
      </c>
      <c r="I15" s="23"/>
      <c r="J15" s="78"/>
      <c r="K15" s="26"/>
      <c r="L15" s="79"/>
      <c r="M15" s="112"/>
      <c r="N15" s="77"/>
      <c r="O15" s="101">
        <v>12</v>
      </c>
      <c r="P15" s="81"/>
      <c r="Q15" s="31">
        <f>2</f>
        <v>2</v>
      </c>
      <c r="R15" s="80"/>
      <c r="S15" s="32">
        <v>0</v>
      </c>
      <c r="T15" s="43"/>
    </row>
    <row r="16" spans="1:20" s="28" customFormat="1" ht="20.100000000000001" customHeight="1">
      <c r="A16" s="18">
        <v>11</v>
      </c>
      <c r="B16" s="18">
        <v>3</v>
      </c>
      <c r="C16" s="75"/>
      <c r="D16" s="18">
        <f t="shared" si="0"/>
        <v>11</v>
      </c>
      <c r="E16" s="121" t="s">
        <v>172</v>
      </c>
      <c r="F16" s="23">
        <v>44089</v>
      </c>
      <c r="G16" s="78">
        <v>44098</v>
      </c>
      <c r="H16" s="117" t="s">
        <v>31</v>
      </c>
      <c r="I16" s="23"/>
      <c r="J16" s="78"/>
      <c r="K16" s="26"/>
      <c r="L16" s="79"/>
      <c r="M16" s="112"/>
      <c r="N16" s="77"/>
      <c r="O16" s="101">
        <v>12</v>
      </c>
      <c r="P16" s="81" t="s">
        <v>175</v>
      </c>
      <c r="Q16" s="31">
        <f>8</f>
        <v>8</v>
      </c>
      <c r="R16" s="80">
        <f>7</f>
        <v>7</v>
      </c>
      <c r="S16" s="32">
        <v>0</v>
      </c>
      <c r="T16" s="43"/>
    </row>
    <row r="17" spans="1:20" s="28" customFormat="1" ht="20.100000000000001" customHeight="1">
      <c r="A17" s="18">
        <v>12</v>
      </c>
      <c r="B17" s="18">
        <v>4</v>
      </c>
      <c r="C17" s="75"/>
      <c r="D17" s="18">
        <f t="shared" si="0"/>
        <v>12</v>
      </c>
      <c r="E17" s="122" t="s">
        <v>196</v>
      </c>
      <c r="F17" s="23">
        <v>44089</v>
      </c>
      <c r="G17" s="78">
        <v>44092</v>
      </c>
      <c r="H17" s="117" t="s">
        <v>170</v>
      </c>
      <c r="I17" s="23"/>
      <c r="J17" s="78"/>
      <c r="K17" s="26"/>
      <c r="L17" s="79"/>
      <c r="M17" s="112" t="s">
        <v>171</v>
      </c>
      <c r="N17" s="77"/>
      <c r="O17" s="101">
        <v>16</v>
      </c>
      <c r="P17" s="81"/>
      <c r="Q17" s="31">
        <f>4</f>
        <v>4</v>
      </c>
      <c r="R17" s="80"/>
      <c r="S17" s="32">
        <v>0</v>
      </c>
      <c r="T17" s="43"/>
    </row>
    <row r="18" spans="1:20" s="28" customFormat="1" ht="20.100000000000001" customHeight="1">
      <c r="A18" s="18">
        <v>13</v>
      </c>
      <c r="B18" s="18">
        <v>4</v>
      </c>
      <c r="C18" s="75"/>
      <c r="D18" s="18">
        <f t="shared" si="0"/>
        <v>13</v>
      </c>
      <c r="E18" s="122" t="s">
        <v>197</v>
      </c>
      <c r="F18" s="23">
        <v>44091</v>
      </c>
      <c r="G18" s="78">
        <v>44097</v>
      </c>
      <c r="H18" s="117" t="s">
        <v>123</v>
      </c>
      <c r="I18" s="23"/>
      <c r="J18" s="78"/>
      <c r="K18" s="26"/>
      <c r="L18" s="79"/>
      <c r="M18" s="112"/>
      <c r="N18" s="77"/>
      <c r="O18" s="101">
        <v>16</v>
      </c>
      <c r="P18" s="81"/>
      <c r="Q18" s="31">
        <f>5</f>
        <v>5</v>
      </c>
      <c r="R18" s="80"/>
      <c r="S18" s="32">
        <v>0</v>
      </c>
      <c r="T18" s="43"/>
    </row>
    <row r="19" spans="1:20" s="28" customFormat="1" ht="20.100000000000001" customHeight="1">
      <c r="A19" s="18">
        <v>14</v>
      </c>
      <c r="B19" s="18">
        <v>4</v>
      </c>
      <c r="C19" s="75"/>
      <c r="D19" s="18">
        <f t="shared" si="0"/>
        <v>14</v>
      </c>
      <c r="E19" s="122" t="s">
        <v>208</v>
      </c>
      <c r="F19" s="23">
        <v>44097</v>
      </c>
      <c r="G19" s="78">
        <v>44098</v>
      </c>
      <c r="H19" s="117" t="s">
        <v>126</v>
      </c>
      <c r="I19" s="23"/>
      <c r="J19" s="78"/>
      <c r="K19" s="26"/>
      <c r="L19" s="79"/>
      <c r="M19" s="112"/>
      <c r="N19" s="77"/>
      <c r="O19" s="101">
        <v>16</v>
      </c>
      <c r="P19" s="81"/>
      <c r="Q19" s="31">
        <f>2</f>
        <v>2</v>
      </c>
      <c r="R19" s="80"/>
      <c r="S19" s="32">
        <v>0</v>
      </c>
      <c r="T19" s="43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T21" sqref="T21"/>
    </sheetView>
  </sheetViews>
  <sheetFormatPr defaultColWidth="3.125" defaultRowHeight="20.100000000000001" customHeight="1" outlineLevelCol="1"/>
  <cols>
    <col min="1" max="1" width="4.625" style="19" customWidth="1"/>
    <col min="2" max="4" width="3.625" style="19" customWidth="1"/>
    <col min="5" max="5" width="10.625" style="19" customWidth="1"/>
    <col min="6" max="6" width="40.625" style="20" customWidth="1"/>
    <col min="7" max="7" width="6.625" style="24" customWidth="1"/>
    <col min="8" max="8" width="6.625" style="24" customWidth="1" collapsed="1"/>
    <col min="9" max="10" width="6.625" style="24" hidden="1" customWidth="1" outlineLevel="1"/>
    <col min="11" max="12" width="8.625" style="25" hidden="1" customWidth="1" outlineLevel="1"/>
    <col min="13" max="14" width="10.625" style="60" hidden="1" customWidth="1" outlineLevel="1"/>
    <col min="15" max="15" width="8.625" style="20" hidden="1" customWidth="1" outlineLevel="1"/>
    <col min="16" max="16" width="8.625" style="84" hidden="1" customWidth="1" outlineLevel="1"/>
    <col min="17" max="18" width="7.625" style="41" hidden="1" customWidth="1" outlineLevel="1"/>
    <col min="19" max="19" width="10.625" style="42" hidden="1" customWidth="1" outlineLevel="1"/>
    <col min="20" max="20" width="40.625" style="19" customWidth="1"/>
    <col min="21" max="21" width="3.125" style="17" customWidth="1"/>
    <col min="22" max="29" width="3.125" style="17"/>
    <col min="30" max="51" width="3.125" style="17" customWidth="1"/>
    <col min="52" max="59" width="3.125" style="17"/>
    <col min="60" max="80" width="3.125" style="17" customWidth="1"/>
    <col min="81" max="16384" width="3.125" style="17"/>
  </cols>
  <sheetData>
    <row r="1" spans="1:80" ht="20.100000000000001" customHeight="1">
      <c r="A1" s="57"/>
      <c r="B1" s="33"/>
      <c r="C1" s="33"/>
      <c r="D1" s="33"/>
      <c r="E1" s="33"/>
      <c r="F1" s="33"/>
      <c r="G1" s="22"/>
      <c r="H1" s="58"/>
      <c r="I1" s="58"/>
      <c r="J1" s="58"/>
      <c r="K1" s="59"/>
      <c r="L1" s="61"/>
      <c r="M1" s="74"/>
      <c r="N1" s="108"/>
      <c r="O1" s="76"/>
      <c r="P1" s="109"/>
      <c r="Q1" s="110"/>
      <c r="R1" s="128"/>
      <c r="S1" s="129"/>
      <c r="T1" s="179"/>
      <c r="U1" s="195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</row>
    <row r="2" spans="1:80" ht="20.100000000000001" customHeight="1">
      <c r="A2" s="285" t="s">
        <v>46</v>
      </c>
      <c r="B2" s="285" t="s">
        <v>0</v>
      </c>
      <c r="C2" s="285" t="s">
        <v>95</v>
      </c>
      <c r="D2" s="285" t="s">
        <v>180</v>
      </c>
      <c r="E2" s="282" t="s">
        <v>1</v>
      </c>
      <c r="F2" s="286" t="s">
        <v>45</v>
      </c>
      <c r="G2" s="85" t="s">
        <v>2</v>
      </c>
      <c r="H2" s="111"/>
      <c r="I2" s="111" t="s">
        <v>20</v>
      </c>
      <c r="J2" s="111"/>
      <c r="K2" s="103" t="s">
        <v>27</v>
      </c>
      <c r="L2" s="103"/>
      <c r="M2" s="286" t="s">
        <v>166</v>
      </c>
      <c r="N2" s="287" t="s">
        <v>92</v>
      </c>
      <c r="O2" s="99" t="s">
        <v>144</v>
      </c>
      <c r="P2" s="113"/>
      <c r="Q2" s="89" t="s">
        <v>145</v>
      </c>
      <c r="R2" s="125"/>
      <c r="S2" s="301" t="s">
        <v>32</v>
      </c>
      <c r="T2" s="303" t="s">
        <v>22</v>
      </c>
      <c r="U2" s="195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</row>
    <row r="3" spans="1:80" s="27" customFormat="1" ht="20.100000000000001" customHeight="1">
      <c r="A3" s="285"/>
      <c r="B3" s="285"/>
      <c r="C3" s="285"/>
      <c r="D3" s="285"/>
      <c r="E3" s="285"/>
      <c r="F3" s="305"/>
      <c r="G3" s="92" t="s">
        <v>23</v>
      </c>
      <c r="H3" s="193" t="s">
        <v>24</v>
      </c>
      <c r="I3" s="92" t="s">
        <v>23</v>
      </c>
      <c r="J3" s="193" t="s">
        <v>24</v>
      </c>
      <c r="K3" s="94" t="s">
        <v>28</v>
      </c>
      <c r="L3" s="95" t="s">
        <v>29</v>
      </c>
      <c r="M3" s="286"/>
      <c r="N3" s="286"/>
      <c r="O3" s="100" t="s">
        <v>98</v>
      </c>
      <c r="P3" s="97" t="s">
        <v>99</v>
      </c>
      <c r="Q3" s="96" t="s">
        <v>25</v>
      </c>
      <c r="R3" s="126" t="s">
        <v>26</v>
      </c>
      <c r="S3" s="302"/>
      <c r="T3" s="304"/>
      <c r="U3" s="296">
        <v>44075</v>
      </c>
      <c r="V3" s="297"/>
      <c r="W3" s="297"/>
      <c r="X3" s="297"/>
      <c r="Y3" s="297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8">
        <v>44105</v>
      </c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9"/>
    </row>
    <row r="4" spans="1:80" s="28" customFormat="1" ht="20.100000000000001" customHeight="1">
      <c r="A4" s="18"/>
      <c r="B4" s="18"/>
      <c r="C4" s="124"/>
      <c r="D4" s="18"/>
      <c r="E4" s="102"/>
      <c r="F4" s="112"/>
      <c r="G4" s="23"/>
      <c r="H4" s="78"/>
      <c r="I4" s="23"/>
      <c r="J4" s="78"/>
      <c r="K4" s="26"/>
      <c r="L4" s="79"/>
      <c r="M4" s="77"/>
      <c r="N4" s="104"/>
      <c r="O4" s="105"/>
      <c r="P4" s="106"/>
      <c r="Q4" s="107"/>
      <c r="R4" s="127"/>
      <c r="S4" s="131"/>
      <c r="T4" s="130"/>
      <c r="U4" s="196">
        <v>44075</v>
      </c>
      <c r="V4" s="197">
        <v>44076</v>
      </c>
      <c r="W4" s="197">
        <v>44077</v>
      </c>
      <c r="X4" s="197">
        <v>44078</v>
      </c>
      <c r="Y4" s="198">
        <v>44079</v>
      </c>
      <c r="Z4" s="199">
        <v>44080</v>
      </c>
      <c r="AA4" s="197">
        <v>44081</v>
      </c>
      <c r="AB4" s="197">
        <v>44082</v>
      </c>
      <c r="AC4" s="197">
        <v>44083</v>
      </c>
      <c r="AD4" s="197">
        <v>44084</v>
      </c>
      <c r="AE4" s="197">
        <v>44085</v>
      </c>
      <c r="AF4" s="198">
        <v>44086</v>
      </c>
      <c r="AG4" s="199">
        <v>44087</v>
      </c>
      <c r="AH4" s="197">
        <v>44088</v>
      </c>
      <c r="AI4" s="197">
        <v>44089</v>
      </c>
      <c r="AJ4" s="197">
        <v>44090</v>
      </c>
      <c r="AK4" s="197">
        <v>44091</v>
      </c>
      <c r="AL4" s="197">
        <v>44092</v>
      </c>
      <c r="AM4" s="198">
        <v>44093</v>
      </c>
      <c r="AN4" s="199">
        <v>44094</v>
      </c>
      <c r="AO4" s="199">
        <v>44095</v>
      </c>
      <c r="AP4" s="199">
        <v>44096</v>
      </c>
      <c r="AQ4" s="197">
        <v>44097</v>
      </c>
      <c r="AR4" s="197">
        <v>44098</v>
      </c>
      <c r="AS4" s="197">
        <v>44099</v>
      </c>
      <c r="AT4" s="198">
        <v>44100</v>
      </c>
      <c r="AU4" s="199">
        <v>44101</v>
      </c>
      <c r="AV4" s="197">
        <v>44102</v>
      </c>
      <c r="AW4" s="197">
        <v>44103</v>
      </c>
      <c r="AX4" s="197">
        <v>44104</v>
      </c>
      <c r="AY4" s="200">
        <v>44105</v>
      </c>
      <c r="AZ4" s="197">
        <v>44106</v>
      </c>
      <c r="BA4" s="198">
        <v>44107</v>
      </c>
      <c r="BB4" s="199">
        <v>44108</v>
      </c>
      <c r="BC4" s="197">
        <v>44109</v>
      </c>
      <c r="BD4" s="197">
        <v>44110</v>
      </c>
      <c r="BE4" s="197">
        <v>44111</v>
      </c>
      <c r="BF4" s="197">
        <v>44112</v>
      </c>
      <c r="BG4" s="197">
        <v>44113</v>
      </c>
      <c r="BH4" s="198">
        <v>44114</v>
      </c>
      <c r="BI4" s="199">
        <v>44115</v>
      </c>
      <c r="BJ4" s="199">
        <v>44116</v>
      </c>
      <c r="BK4" s="197">
        <v>44117</v>
      </c>
      <c r="BL4" s="197">
        <v>44118</v>
      </c>
      <c r="BM4" s="197">
        <v>44119</v>
      </c>
      <c r="BN4" s="197">
        <v>44120</v>
      </c>
      <c r="BO4" s="198">
        <v>44121</v>
      </c>
      <c r="BP4" s="199">
        <v>44122</v>
      </c>
      <c r="BQ4" s="197">
        <v>44123</v>
      </c>
      <c r="BR4" s="197">
        <v>44124</v>
      </c>
      <c r="BS4" s="197">
        <v>44125</v>
      </c>
      <c r="BT4" s="197">
        <v>44126</v>
      </c>
      <c r="BU4" s="197">
        <v>44127</v>
      </c>
      <c r="BV4" s="198">
        <v>44128</v>
      </c>
      <c r="BW4" s="199">
        <v>44129</v>
      </c>
      <c r="BX4" s="197">
        <v>44130</v>
      </c>
      <c r="BY4" s="197">
        <v>44131</v>
      </c>
      <c r="BZ4" s="197">
        <v>44132</v>
      </c>
      <c r="CA4" s="197">
        <v>44133</v>
      </c>
      <c r="CB4" s="254">
        <v>44134</v>
      </c>
    </row>
    <row r="5" spans="1:80" s="134" customFormat="1" ht="35.1" customHeight="1">
      <c r="A5" s="283" t="s">
        <v>204</v>
      </c>
      <c r="B5" s="283"/>
      <c r="C5" s="283"/>
      <c r="D5" s="284"/>
      <c r="E5" s="284"/>
      <c r="F5" s="30"/>
      <c r="G5" s="35"/>
      <c r="H5" s="35"/>
      <c r="I5" s="35"/>
      <c r="J5" s="35"/>
      <c r="K5" s="118"/>
      <c r="L5" s="118"/>
      <c r="M5" s="30"/>
      <c r="N5" s="30"/>
      <c r="O5" s="30"/>
      <c r="P5" s="82"/>
      <c r="Q5" s="37"/>
      <c r="R5" s="37"/>
      <c r="S5" s="119"/>
      <c r="T5" s="169"/>
      <c r="U5" s="196"/>
      <c r="V5" s="197"/>
      <c r="W5" s="197"/>
      <c r="X5" s="197"/>
      <c r="Y5" s="198"/>
      <c r="Z5" s="199"/>
      <c r="AA5" s="197"/>
      <c r="AB5" s="197"/>
      <c r="AC5" s="197"/>
      <c r="AD5" s="197"/>
      <c r="AE5" s="197"/>
      <c r="AF5" s="198"/>
      <c r="AG5" s="199"/>
      <c r="AH5" s="197"/>
      <c r="AI5" s="197"/>
      <c r="AJ5" s="197"/>
      <c r="AK5" s="197"/>
      <c r="AL5" s="197"/>
      <c r="AM5" s="198"/>
      <c r="AN5" s="199"/>
      <c r="AO5" s="199"/>
      <c r="AP5" s="199"/>
      <c r="AQ5" s="197"/>
      <c r="AR5" s="197"/>
      <c r="AS5" s="197"/>
      <c r="AT5" s="198"/>
      <c r="AU5" s="199"/>
      <c r="AV5" s="197"/>
      <c r="AW5" s="197"/>
      <c r="AX5" s="197"/>
      <c r="AY5" s="200"/>
      <c r="AZ5" s="197"/>
      <c r="BA5" s="198"/>
      <c r="BB5" s="199"/>
      <c r="BC5" s="197"/>
      <c r="BD5" s="197"/>
      <c r="BE5" s="197"/>
      <c r="BF5" s="197"/>
      <c r="BG5" s="197"/>
      <c r="BH5" s="198"/>
      <c r="BI5" s="199"/>
      <c r="BJ5" s="199"/>
      <c r="BK5" s="197"/>
      <c r="BL5" s="197"/>
      <c r="BM5" s="197"/>
      <c r="BN5" s="197"/>
      <c r="BO5" s="198"/>
      <c r="BP5" s="199"/>
      <c r="BQ5" s="197"/>
      <c r="BR5" s="197"/>
      <c r="BS5" s="197"/>
      <c r="BT5" s="197"/>
      <c r="BU5" s="197"/>
      <c r="BV5" s="198"/>
      <c r="BW5" s="199"/>
      <c r="BX5" s="197"/>
      <c r="BY5" s="197"/>
      <c r="BZ5" s="197"/>
      <c r="CA5" s="197"/>
      <c r="CB5" s="254"/>
    </row>
    <row r="6" spans="1:80" s="28" customFormat="1" ht="20.100000000000001" customHeight="1">
      <c r="A6" s="255">
        <v>4</v>
      </c>
      <c r="B6" s="255">
        <v>1</v>
      </c>
      <c r="C6" s="255"/>
      <c r="D6" s="255">
        <v>4</v>
      </c>
      <c r="E6" s="300" t="s">
        <v>119</v>
      </c>
      <c r="F6" s="256" t="s">
        <v>264</v>
      </c>
      <c r="G6" s="23">
        <v>44076</v>
      </c>
      <c r="H6" s="257">
        <v>44077</v>
      </c>
      <c r="I6" s="23"/>
      <c r="J6" s="257"/>
      <c r="K6" s="26"/>
      <c r="L6" s="258"/>
      <c r="M6" s="259"/>
      <c r="N6" s="201"/>
      <c r="O6" s="105">
        <v>8</v>
      </c>
      <c r="P6" s="106"/>
      <c r="Q6" s="107">
        <v>2</v>
      </c>
      <c r="R6" s="260">
        <v>4</v>
      </c>
      <c r="S6" s="202"/>
      <c r="T6" s="130"/>
      <c r="U6" s="196"/>
      <c r="V6" s="197"/>
      <c r="W6" s="197"/>
      <c r="X6" s="197"/>
      <c r="Y6" s="198"/>
      <c r="Z6" s="199"/>
      <c r="AA6" s="197"/>
      <c r="AB6" s="197"/>
      <c r="AC6" s="197"/>
      <c r="AD6" s="197"/>
      <c r="AE6" s="197"/>
      <c r="AF6" s="198"/>
      <c r="AG6" s="199"/>
      <c r="AH6" s="197"/>
      <c r="AI6" s="197"/>
      <c r="AJ6" s="197"/>
      <c r="AK6" s="197"/>
      <c r="AL6" s="197"/>
      <c r="AM6" s="198"/>
      <c r="AN6" s="199"/>
      <c r="AO6" s="199"/>
      <c r="AP6" s="199"/>
      <c r="AQ6" s="197"/>
      <c r="AR6" s="197"/>
      <c r="AS6" s="197"/>
      <c r="AT6" s="198"/>
      <c r="AU6" s="199"/>
      <c r="AV6" s="197"/>
      <c r="AW6" s="197"/>
      <c r="AX6" s="197"/>
      <c r="AY6" s="200"/>
      <c r="AZ6" s="197"/>
      <c r="BA6" s="198"/>
      <c r="BB6" s="199"/>
      <c r="BC6" s="197"/>
      <c r="BD6" s="197"/>
      <c r="BE6" s="197"/>
      <c r="BF6" s="197"/>
      <c r="BG6" s="197"/>
      <c r="BH6" s="198"/>
      <c r="BI6" s="199"/>
      <c r="BJ6" s="199"/>
      <c r="BK6" s="197"/>
      <c r="BL6" s="197"/>
      <c r="BM6" s="197"/>
      <c r="BN6" s="197"/>
      <c r="BO6" s="198"/>
      <c r="BP6" s="199"/>
      <c r="BQ6" s="197"/>
      <c r="BR6" s="197"/>
      <c r="BS6" s="197"/>
      <c r="BT6" s="197"/>
      <c r="BU6" s="197"/>
      <c r="BV6" s="198"/>
      <c r="BW6" s="199"/>
      <c r="BX6" s="197"/>
      <c r="BY6" s="197"/>
      <c r="BZ6" s="197"/>
      <c r="CA6" s="197"/>
      <c r="CB6" s="254"/>
    </row>
    <row r="7" spans="1:80" s="28" customFormat="1" ht="20.100000000000001" customHeight="1">
      <c r="A7" s="255">
        <v>9</v>
      </c>
      <c r="B7" s="255">
        <v>1</v>
      </c>
      <c r="C7" s="255" t="s">
        <v>268</v>
      </c>
      <c r="D7" s="255">
        <v>10</v>
      </c>
      <c r="E7" s="294"/>
      <c r="F7" s="256" t="s">
        <v>267</v>
      </c>
      <c r="G7" s="23">
        <v>44084</v>
      </c>
      <c r="H7" s="257">
        <v>44088</v>
      </c>
      <c r="I7" s="23"/>
      <c r="J7" s="257"/>
      <c r="K7" s="26"/>
      <c r="L7" s="258"/>
      <c r="M7" s="259">
        <v>10</v>
      </c>
      <c r="N7" s="201"/>
      <c r="O7" s="105">
        <v>13</v>
      </c>
      <c r="P7" s="106"/>
      <c r="Q7" s="107"/>
      <c r="R7" s="260"/>
      <c r="S7" s="202"/>
      <c r="T7" s="130"/>
      <c r="U7" s="196"/>
      <c r="V7" s="197"/>
      <c r="W7" s="197"/>
      <c r="X7" s="197"/>
      <c r="Y7" s="198"/>
      <c r="Z7" s="199"/>
      <c r="AA7" s="197"/>
      <c r="AB7" s="197"/>
      <c r="AC7" s="197"/>
      <c r="AD7" s="197"/>
      <c r="AE7" s="197"/>
      <c r="AF7" s="198"/>
      <c r="AG7" s="199"/>
      <c r="AH7" s="197"/>
      <c r="AI7" s="197"/>
      <c r="AJ7" s="197"/>
      <c r="AK7" s="197"/>
      <c r="AL7" s="197"/>
      <c r="AM7" s="198"/>
      <c r="AN7" s="199"/>
      <c r="AO7" s="199"/>
      <c r="AP7" s="199"/>
      <c r="AQ7" s="197"/>
      <c r="AR7" s="197"/>
      <c r="AS7" s="197"/>
      <c r="AT7" s="198"/>
      <c r="AU7" s="199"/>
      <c r="AV7" s="197"/>
      <c r="AW7" s="197"/>
      <c r="AX7" s="197"/>
      <c r="AY7" s="200"/>
      <c r="AZ7" s="197"/>
      <c r="BA7" s="198"/>
      <c r="BB7" s="199"/>
      <c r="BC7" s="197"/>
      <c r="BD7" s="197"/>
      <c r="BE7" s="197"/>
      <c r="BF7" s="197"/>
      <c r="BG7" s="197"/>
      <c r="BH7" s="198"/>
      <c r="BI7" s="199"/>
      <c r="BJ7" s="199"/>
      <c r="BK7" s="197"/>
      <c r="BL7" s="197"/>
      <c r="BM7" s="197"/>
      <c r="BN7" s="197"/>
      <c r="BO7" s="198"/>
      <c r="BP7" s="199"/>
      <c r="BQ7" s="197"/>
      <c r="BR7" s="197"/>
      <c r="BS7" s="197"/>
      <c r="BT7" s="197"/>
      <c r="BU7" s="197"/>
      <c r="BV7" s="198"/>
      <c r="BW7" s="199"/>
      <c r="BX7" s="197"/>
      <c r="BY7" s="197"/>
      <c r="BZ7" s="197"/>
      <c r="CA7" s="197"/>
      <c r="CB7" s="254"/>
    </row>
    <row r="8" spans="1:80" s="28" customFormat="1" ht="20.100000000000001" customHeight="1" thickBot="1">
      <c r="A8" s="203">
        <v>13</v>
      </c>
      <c r="B8" s="203">
        <v>1</v>
      </c>
      <c r="C8" s="203" t="s">
        <v>268</v>
      </c>
      <c r="D8" s="203">
        <v>17</v>
      </c>
      <c r="E8" s="295"/>
      <c r="F8" s="204" t="s">
        <v>271</v>
      </c>
      <c r="G8" s="205">
        <v>44089</v>
      </c>
      <c r="H8" s="261">
        <v>44092</v>
      </c>
      <c r="I8" s="205"/>
      <c r="J8" s="261"/>
      <c r="K8" s="206"/>
      <c r="L8" s="262"/>
      <c r="M8" s="207"/>
      <c r="N8" s="208"/>
      <c r="O8" s="209">
        <v>20</v>
      </c>
      <c r="P8" s="210"/>
      <c r="Q8" s="211"/>
      <c r="R8" s="263"/>
      <c r="S8" s="212"/>
      <c r="T8" s="213"/>
      <c r="U8" s="214"/>
      <c r="V8" s="215"/>
      <c r="W8" s="215"/>
      <c r="X8" s="215"/>
      <c r="Y8" s="216"/>
      <c r="Z8" s="217"/>
      <c r="AA8" s="215"/>
      <c r="AB8" s="215"/>
      <c r="AC8" s="215"/>
      <c r="AD8" s="215"/>
      <c r="AE8" s="215"/>
      <c r="AF8" s="216"/>
      <c r="AG8" s="217"/>
      <c r="AH8" s="215"/>
      <c r="AI8" s="215"/>
      <c r="AJ8" s="215"/>
      <c r="AK8" s="215"/>
      <c r="AL8" s="215"/>
      <c r="AM8" s="216"/>
      <c r="AN8" s="217"/>
      <c r="AO8" s="217"/>
      <c r="AP8" s="217"/>
      <c r="AQ8" s="215"/>
      <c r="AR8" s="215"/>
      <c r="AS8" s="215"/>
      <c r="AT8" s="216"/>
      <c r="AU8" s="217"/>
      <c r="AV8" s="215"/>
      <c r="AW8" s="215"/>
      <c r="AX8" s="215"/>
      <c r="AY8" s="218"/>
      <c r="AZ8" s="215"/>
      <c r="BA8" s="216"/>
      <c r="BB8" s="217"/>
      <c r="BC8" s="215"/>
      <c r="BD8" s="215"/>
      <c r="BE8" s="215"/>
      <c r="BF8" s="215"/>
      <c r="BG8" s="215"/>
      <c r="BH8" s="216"/>
      <c r="BI8" s="217"/>
      <c r="BJ8" s="217"/>
      <c r="BK8" s="215"/>
      <c r="BL8" s="215"/>
      <c r="BM8" s="215"/>
      <c r="BN8" s="215"/>
      <c r="BO8" s="216"/>
      <c r="BP8" s="217"/>
      <c r="BQ8" s="215"/>
      <c r="BR8" s="215"/>
      <c r="BS8" s="215"/>
      <c r="BT8" s="215"/>
      <c r="BU8" s="215"/>
      <c r="BV8" s="216"/>
      <c r="BW8" s="217"/>
      <c r="BX8" s="215"/>
      <c r="BY8" s="215"/>
      <c r="BZ8" s="215"/>
      <c r="CA8" s="215"/>
      <c r="CB8" s="264"/>
    </row>
    <row r="9" spans="1:80" s="28" customFormat="1" ht="20.100000000000001" customHeight="1" thickTop="1">
      <c r="A9" s="236">
        <v>5</v>
      </c>
      <c r="B9" s="236">
        <v>1</v>
      </c>
      <c r="C9" s="236"/>
      <c r="D9" s="236">
        <v>5</v>
      </c>
      <c r="E9" s="293" t="s">
        <v>123</v>
      </c>
      <c r="F9" s="237" t="s">
        <v>265</v>
      </c>
      <c r="G9" s="238">
        <v>44078</v>
      </c>
      <c r="H9" s="265">
        <v>44081</v>
      </c>
      <c r="I9" s="238"/>
      <c r="J9" s="265"/>
      <c r="K9" s="239"/>
      <c r="L9" s="266"/>
      <c r="M9" s="240"/>
      <c r="N9" s="241"/>
      <c r="O9" s="242">
        <v>8</v>
      </c>
      <c r="P9" s="243"/>
      <c r="Q9" s="244">
        <v>2</v>
      </c>
      <c r="R9" s="267">
        <v>2</v>
      </c>
      <c r="S9" s="245"/>
      <c r="T9" s="246"/>
      <c r="U9" s="247"/>
      <c r="V9" s="248"/>
      <c r="W9" s="248"/>
      <c r="X9" s="248"/>
      <c r="Y9" s="249"/>
      <c r="Z9" s="250"/>
      <c r="AA9" s="248"/>
      <c r="AB9" s="248"/>
      <c r="AC9" s="248"/>
      <c r="AD9" s="248"/>
      <c r="AE9" s="248"/>
      <c r="AF9" s="249"/>
      <c r="AG9" s="250"/>
      <c r="AH9" s="248"/>
      <c r="AI9" s="248"/>
      <c r="AJ9" s="248"/>
      <c r="AK9" s="248"/>
      <c r="AL9" s="248"/>
      <c r="AM9" s="249"/>
      <c r="AN9" s="250"/>
      <c r="AO9" s="250"/>
      <c r="AP9" s="250"/>
      <c r="AQ9" s="248"/>
      <c r="AR9" s="248"/>
      <c r="AS9" s="248"/>
      <c r="AT9" s="249"/>
      <c r="AU9" s="250"/>
      <c r="AV9" s="248"/>
      <c r="AW9" s="248"/>
      <c r="AX9" s="248"/>
      <c r="AY9" s="251"/>
      <c r="AZ9" s="248"/>
      <c r="BA9" s="249"/>
      <c r="BB9" s="250"/>
      <c r="BC9" s="248"/>
      <c r="BD9" s="248"/>
      <c r="BE9" s="248"/>
      <c r="BF9" s="248"/>
      <c r="BG9" s="248"/>
      <c r="BH9" s="249"/>
      <c r="BI9" s="250"/>
      <c r="BJ9" s="250"/>
      <c r="BK9" s="248"/>
      <c r="BL9" s="248"/>
      <c r="BM9" s="248"/>
      <c r="BN9" s="248"/>
      <c r="BO9" s="249"/>
      <c r="BP9" s="250"/>
      <c r="BQ9" s="248"/>
      <c r="BR9" s="248"/>
      <c r="BS9" s="248"/>
      <c r="BT9" s="248"/>
      <c r="BU9" s="248"/>
      <c r="BV9" s="249"/>
      <c r="BW9" s="250"/>
      <c r="BX9" s="248"/>
      <c r="BY9" s="248"/>
      <c r="BZ9" s="248"/>
      <c r="CA9" s="248"/>
      <c r="CB9" s="268"/>
    </row>
    <row r="10" spans="1:80" s="28" customFormat="1" ht="20.100000000000001" customHeight="1">
      <c r="A10" s="255">
        <v>10</v>
      </c>
      <c r="B10" s="255">
        <v>1</v>
      </c>
      <c r="C10" s="255"/>
      <c r="D10" s="255">
        <v>13</v>
      </c>
      <c r="E10" s="294"/>
      <c r="F10" s="256" t="s">
        <v>269</v>
      </c>
      <c r="G10" s="23">
        <v>44088</v>
      </c>
      <c r="H10" s="257">
        <v>44090</v>
      </c>
      <c r="I10" s="23"/>
      <c r="J10" s="257"/>
      <c r="K10" s="26"/>
      <c r="L10" s="258"/>
      <c r="M10" s="259"/>
      <c r="N10" s="201"/>
      <c r="O10" s="105">
        <v>13</v>
      </c>
      <c r="P10" s="106"/>
      <c r="Q10" s="107">
        <v>3</v>
      </c>
      <c r="R10" s="260">
        <v>62</v>
      </c>
      <c r="S10" s="202"/>
      <c r="T10" s="130"/>
      <c r="U10" s="196"/>
      <c r="V10" s="197"/>
      <c r="W10" s="197"/>
      <c r="X10" s="197"/>
      <c r="Y10" s="198"/>
      <c r="Z10" s="199"/>
      <c r="AA10" s="197"/>
      <c r="AB10" s="197"/>
      <c r="AC10" s="197"/>
      <c r="AD10" s="197"/>
      <c r="AE10" s="197"/>
      <c r="AF10" s="198"/>
      <c r="AG10" s="199"/>
      <c r="AH10" s="197"/>
      <c r="AI10" s="197"/>
      <c r="AJ10" s="197"/>
      <c r="AK10" s="197"/>
      <c r="AL10" s="197"/>
      <c r="AM10" s="198"/>
      <c r="AN10" s="199"/>
      <c r="AO10" s="199"/>
      <c r="AP10" s="199"/>
      <c r="AQ10" s="197"/>
      <c r="AR10" s="197"/>
      <c r="AS10" s="197"/>
      <c r="AT10" s="198"/>
      <c r="AU10" s="199"/>
      <c r="AV10" s="197"/>
      <c r="AW10" s="197"/>
      <c r="AX10" s="197"/>
      <c r="AY10" s="200"/>
      <c r="AZ10" s="197"/>
      <c r="BA10" s="198"/>
      <c r="BB10" s="199"/>
      <c r="BC10" s="197"/>
      <c r="BD10" s="197"/>
      <c r="BE10" s="197"/>
      <c r="BF10" s="197"/>
      <c r="BG10" s="197"/>
      <c r="BH10" s="198"/>
      <c r="BI10" s="199"/>
      <c r="BJ10" s="199"/>
      <c r="BK10" s="197"/>
      <c r="BL10" s="197"/>
      <c r="BM10" s="197"/>
      <c r="BN10" s="197"/>
      <c r="BO10" s="198"/>
      <c r="BP10" s="199"/>
      <c r="BQ10" s="197"/>
      <c r="BR10" s="197"/>
      <c r="BS10" s="197"/>
      <c r="BT10" s="197"/>
      <c r="BU10" s="197"/>
      <c r="BV10" s="198"/>
      <c r="BW10" s="199"/>
      <c r="BX10" s="197"/>
      <c r="BY10" s="197"/>
      <c r="BZ10" s="197"/>
      <c r="CA10" s="197"/>
      <c r="CB10" s="254"/>
    </row>
    <row r="11" spans="1:80" s="28" customFormat="1" ht="20.100000000000001" customHeight="1" thickBot="1">
      <c r="A11" s="203">
        <v>14</v>
      </c>
      <c r="B11" s="203">
        <v>1</v>
      </c>
      <c r="C11" s="203"/>
      <c r="D11" s="203">
        <v>19</v>
      </c>
      <c r="E11" s="295"/>
      <c r="F11" s="204" t="s">
        <v>272</v>
      </c>
      <c r="G11" s="205">
        <v>44091</v>
      </c>
      <c r="H11" s="261">
        <v>44097</v>
      </c>
      <c r="I11" s="205"/>
      <c r="J11" s="261"/>
      <c r="K11" s="206"/>
      <c r="L11" s="262"/>
      <c r="M11" s="207"/>
      <c r="N11" s="208"/>
      <c r="O11" s="209">
        <v>20</v>
      </c>
      <c r="P11" s="210"/>
      <c r="Q11" s="211">
        <v>5</v>
      </c>
      <c r="R11" s="263">
        <v>59</v>
      </c>
      <c r="S11" s="212"/>
      <c r="T11" s="213"/>
      <c r="U11" s="214"/>
      <c r="V11" s="215"/>
      <c r="W11" s="215"/>
      <c r="X11" s="215"/>
      <c r="Y11" s="216"/>
      <c r="Z11" s="217"/>
      <c r="AA11" s="215"/>
      <c r="AB11" s="215"/>
      <c r="AC11" s="215"/>
      <c r="AD11" s="215"/>
      <c r="AE11" s="215"/>
      <c r="AF11" s="216"/>
      <c r="AG11" s="217"/>
      <c r="AH11" s="215"/>
      <c r="AI11" s="215"/>
      <c r="AJ11" s="215"/>
      <c r="AK11" s="215"/>
      <c r="AL11" s="215"/>
      <c r="AM11" s="216"/>
      <c r="AN11" s="217"/>
      <c r="AO11" s="217"/>
      <c r="AP11" s="217"/>
      <c r="AQ11" s="215"/>
      <c r="AR11" s="215"/>
      <c r="AS11" s="215"/>
      <c r="AT11" s="216"/>
      <c r="AU11" s="217"/>
      <c r="AV11" s="215"/>
      <c r="AW11" s="215"/>
      <c r="AX11" s="215"/>
      <c r="AY11" s="218"/>
      <c r="AZ11" s="215"/>
      <c r="BA11" s="216"/>
      <c r="BB11" s="217"/>
      <c r="BC11" s="215"/>
      <c r="BD11" s="215"/>
      <c r="BE11" s="215"/>
      <c r="BF11" s="215"/>
      <c r="BG11" s="215"/>
      <c r="BH11" s="216"/>
      <c r="BI11" s="217"/>
      <c r="BJ11" s="217"/>
      <c r="BK11" s="215"/>
      <c r="BL11" s="215"/>
      <c r="BM11" s="215"/>
      <c r="BN11" s="215"/>
      <c r="BO11" s="216"/>
      <c r="BP11" s="217"/>
      <c r="BQ11" s="215"/>
      <c r="BR11" s="215"/>
      <c r="BS11" s="215"/>
      <c r="BT11" s="215"/>
      <c r="BU11" s="215"/>
      <c r="BV11" s="216"/>
      <c r="BW11" s="217"/>
      <c r="BX11" s="215"/>
      <c r="BY11" s="215"/>
      <c r="BZ11" s="215"/>
      <c r="CA11" s="215"/>
      <c r="CB11" s="264"/>
    </row>
    <row r="12" spans="1:80" s="28" customFormat="1" ht="20.100000000000001" customHeight="1" thickTop="1">
      <c r="A12" s="236">
        <v>6</v>
      </c>
      <c r="B12" s="236">
        <v>1</v>
      </c>
      <c r="C12" s="236"/>
      <c r="D12" s="236">
        <v>6</v>
      </c>
      <c r="E12" s="293" t="s">
        <v>127</v>
      </c>
      <c r="F12" s="237" t="s">
        <v>266</v>
      </c>
      <c r="G12" s="238">
        <v>44081</v>
      </c>
      <c r="H12" s="265">
        <v>44099</v>
      </c>
      <c r="I12" s="238"/>
      <c r="J12" s="265"/>
      <c r="K12" s="239"/>
      <c r="L12" s="266"/>
      <c r="M12" s="240"/>
      <c r="N12" s="241"/>
      <c r="O12" s="242">
        <v>8</v>
      </c>
      <c r="P12" s="243"/>
      <c r="Q12" s="244">
        <v>3</v>
      </c>
      <c r="R12" s="267">
        <v>1</v>
      </c>
      <c r="S12" s="245"/>
      <c r="T12" s="246"/>
      <c r="U12" s="247"/>
      <c r="V12" s="248"/>
      <c r="W12" s="248"/>
      <c r="X12" s="248"/>
      <c r="Y12" s="249"/>
      <c r="Z12" s="250"/>
      <c r="AA12" s="248"/>
      <c r="AB12" s="248"/>
      <c r="AC12" s="248"/>
      <c r="AD12" s="248"/>
      <c r="AE12" s="248"/>
      <c r="AF12" s="249"/>
      <c r="AG12" s="250"/>
      <c r="AH12" s="248"/>
      <c r="AI12" s="248"/>
      <c r="AJ12" s="248"/>
      <c r="AK12" s="248"/>
      <c r="AL12" s="248"/>
      <c r="AM12" s="249"/>
      <c r="AN12" s="250"/>
      <c r="AO12" s="250"/>
      <c r="AP12" s="250"/>
      <c r="AQ12" s="248"/>
      <c r="AR12" s="248"/>
      <c r="AS12" s="248"/>
      <c r="AT12" s="249"/>
      <c r="AU12" s="250"/>
      <c r="AV12" s="248"/>
      <c r="AW12" s="248"/>
      <c r="AX12" s="248"/>
      <c r="AY12" s="251"/>
      <c r="AZ12" s="248"/>
      <c r="BA12" s="249"/>
      <c r="BB12" s="250"/>
      <c r="BC12" s="248"/>
      <c r="BD12" s="248"/>
      <c r="BE12" s="248"/>
      <c r="BF12" s="248"/>
      <c r="BG12" s="248"/>
      <c r="BH12" s="249"/>
      <c r="BI12" s="250"/>
      <c r="BJ12" s="250"/>
      <c r="BK12" s="248"/>
      <c r="BL12" s="248"/>
      <c r="BM12" s="248"/>
      <c r="BN12" s="248"/>
      <c r="BO12" s="249"/>
      <c r="BP12" s="250"/>
      <c r="BQ12" s="248"/>
      <c r="BR12" s="248"/>
      <c r="BS12" s="248"/>
      <c r="BT12" s="248"/>
      <c r="BU12" s="248"/>
      <c r="BV12" s="249"/>
      <c r="BW12" s="250"/>
      <c r="BX12" s="248"/>
      <c r="BY12" s="248"/>
      <c r="BZ12" s="248"/>
      <c r="CA12" s="248"/>
      <c r="CB12" s="268"/>
    </row>
    <row r="13" spans="1:80" s="28" customFormat="1" ht="20.100000000000001" customHeight="1" thickBot="1">
      <c r="A13" s="203">
        <v>11</v>
      </c>
      <c r="B13" s="203">
        <v>1</v>
      </c>
      <c r="C13" s="203"/>
      <c r="D13" s="203">
        <v>14</v>
      </c>
      <c r="E13" s="295"/>
      <c r="F13" s="204" t="s">
        <v>270</v>
      </c>
      <c r="G13" s="205">
        <v>44091</v>
      </c>
      <c r="H13" s="261">
        <v>44092</v>
      </c>
      <c r="I13" s="205"/>
      <c r="J13" s="261"/>
      <c r="K13" s="206"/>
      <c r="L13" s="262"/>
      <c r="M13" s="207"/>
      <c r="N13" s="208"/>
      <c r="O13" s="209">
        <v>13</v>
      </c>
      <c r="P13" s="210"/>
      <c r="Q13" s="211">
        <v>2</v>
      </c>
      <c r="R13" s="263">
        <v>59</v>
      </c>
      <c r="S13" s="212"/>
      <c r="T13" s="213"/>
      <c r="U13" s="214"/>
      <c r="V13" s="215"/>
      <c r="W13" s="215"/>
      <c r="X13" s="215"/>
      <c r="Y13" s="216"/>
      <c r="Z13" s="217"/>
      <c r="AA13" s="215"/>
      <c r="AB13" s="215"/>
      <c r="AC13" s="215"/>
      <c r="AD13" s="215"/>
      <c r="AE13" s="215"/>
      <c r="AF13" s="216"/>
      <c r="AG13" s="217"/>
      <c r="AH13" s="215"/>
      <c r="AI13" s="215"/>
      <c r="AJ13" s="215"/>
      <c r="AK13" s="215"/>
      <c r="AL13" s="215"/>
      <c r="AM13" s="216"/>
      <c r="AN13" s="217"/>
      <c r="AO13" s="217"/>
      <c r="AP13" s="217"/>
      <c r="AQ13" s="215"/>
      <c r="AR13" s="215"/>
      <c r="AS13" s="215"/>
      <c r="AT13" s="216"/>
      <c r="AU13" s="217"/>
      <c r="AV13" s="215"/>
      <c r="AW13" s="215"/>
      <c r="AX13" s="215"/>
      <c r="AY13" s="218"/>
      <c r="AZ13" s="215"/>
      <c r="BA13" s="216"/>
      <c r="BB13" s="217"/>
      <c r="BC13" s="215"/>
      <c r="BD13" s="215"/>
      <c r="BE13" s="215"/>
      <c r="BF13" s="215"/>
      <c r="BG13" s="215"/>
      <c r="BH13" s="216"/>
      <c r="BI13" s="217"/>
      <c r="BJ13" s="217"/>
      <c r="BK13" s="215"/>
      <c r="BL13" s="215"/>
      <c r="BM13" s="215"/>
      <c r="BN13" s="215"/>
      <c r="BO13" s="216"/>
      <c r="BP13" s="217"/>
      <c r="BQ13" s="215"/>
      <c r="BR13" s="215"/>
      <c r="BS13" s="215"/>
      <c r="BT13" s="215"/>
      <c r="BU13" s="215"/>
      <c r="BV13" s="216"/>
      <c r="BW13" s="217"/>
      <c r="BX13" s="215"/>
      <c r="BY13" s="215"/>
      <c r="BZ13" s="215"/>
      <c r="CA13" s="215"/>
      <c r="CB13" s="264"/>
    </row>
    <row r="14" spans="1:80" s="28" customFormat="1" ht="20.100000000000001" customHeight="1" thickTop="1">
      <c r="A14" s="236">
        <v>9</v>
      </c>
      <c r="B14" s="236">
        <v>1</v>
      </c>
      <c r="C14" s="236" t="s">
        <v>268</v>
      </c>
      <c r="D14" s="236">
        <v>11</v>
      </c>
      <c r="E14" s="293" t="s">
        <v>120</v>
      </c>
      <c r="F14" s="237" t="s">
        <v>267</v>
      </c>
      <c r="G14" s="238">
        <v>44084</v>
      </c>
      <c r="H14" s="265">
        <v>44088</v>
      </c>
      <c r="I14" s="238"/>
      <c r="J14" s="265"/>
      <c r="K14" s="239"/>
      <c r="L14" s="266"/>
      <c r="M14" s="240">
        <v>10</v>
      </c>
      <c r="N14" s="241"/>
      <c r="O14" s="242">
        <v>13</v>
      </c>
      <c r="P14" s="243"/>
      <c r="Q14" s="244"/>
      <c r="R14" s="267"/>
      <c r="S14" s="245"/>
      <c r="T14" s="246"/>
      <c r="U14" s="247"/>
      <c r="V14" s="248"/>
      <c r="W14" s="248"/>
      <c r="X14" s="248"/>
      <c r="Y14" s="249"/>
      <c r="Z14" s="250"/>
      <c r="AA14" s="248"/>
      <c r="AB14" s="248"/>
      <c r="AC14" s="248"/>
      <c r="AD14" s="248"/>
      <c r="AE14" s="248"/>
      <c r="AF14" s="249"/>
      <c r="AG14" s="250"/>
      <c r="AH14" s="248"/>
      <c r="AI14" s="248"/>
      <c r="AJ14" s="248"/>
      <c r="AK14" s="248"/>
      <c r="AL14" s="248"/>
      <c r="AM14" s="249"/>
      <c r="AN14" s="250"/>
      <c r="AO14" s="250"/>
      <c r="AP14" s="250"/>
      <c r="AQ14" s="248"/>
      <c r="AR14" s="248"/>
      <c r="AS14" s="248"/>
      <c r="AT14" s="249"/>
      <c r="AU14" s="250"/>
      <c r="AV14" s="248"/>
      <c r="AW14" s="248"/>
      <c r="AX14" s="248"/>
      <c r="AY14" s="251"/>
      <c r="AZ14" s="248"/>
      <c r="BA14" s="249"/>
      <c r="BB14" s="250"/>
      <c r="BC14" s="248"/>
      <c r="BD14" s="248"/>
      <c r="BE14" s="248"/>
      <c r="BF14" s="248"/>
      <c r="BG14" s="248"/>
      <c r="BH14" s="249"/>
      <c r="BI14" s="250"/>
      <c r="BJ14" s="250"/>
      <c r="BK14" s="248"/>
      <c r="BL14" s="248"/>
      <c r="BM14" s="248"/>
      <c r="BN14" s="248"/>
      <c r="BO14" s="249"/>
      <c r="BP14" s="250"/>
      <c r="BQ14" s="248"/>
      <c r="BR14" s="248"/>
      <c r="BS14" s="248"/>
      <c r="BT14" s="248"/>
      <c r="BU14" s="248"/>
      <c r="BV14" s="249"/>
      <c r="BW14" s="250"/>
      <c r="BX14" s="248"/>
      <c r="BY14" s="248"/>
      <c r="BZ14" s="248"/>
      <c r="CA14" s="248"/>
      <c r="CB14" s="268"/>
    </row>
    <row r="15" spans="1:80" s="28" customFormat="1" ht="20.100000000000001" customHeight="1" thickBot="1">
      <c r="A15" s="203">
        <v>13</v>
      </c>
      <c r="B15" s="203">
        <v>1</v>
      </c>
      <c r="C15" s="203" t="s">
        <v>268</v>
      </c>
      <c r="D15" s="203">
        <v>18</v>
      </c>
      <c r="E15" s="295"/>
      <c r="F15" s="204" t="s">
        <v>271</v>
      </c>
      <c r="G15" s="205">
        <v>44089</v>
      </c>
      <c r="H15" s="261">
        <v>44092</v>
      </c>
      <c r="I15" s="205"/>
      <c r="J15" s="261"/>
      <c r="K15" s="206"/>
      <c r="L15" s="262"/>
      <c r="M15" s="207"/>
      <c r="N15" s="208"/>
      <c r="O15" s="209">
        <v>20</v>
      </c>
      <c r="P15" s="210"/>
      <c r="Q15" s="211"/>
      <c r="R15" s="263"/>
      <c r="S15" s="212"/>
      <c r="T15" s="213"/>
      <c r="U15" s="214"/>
      <c r="V15" s="215"/>
      <c r="W15" s="215"/>
      <c r="X15" s="215"/>
      <c r="Y15" s="216"/>
      <c r="Z15" s="217"/>
      <c r="AA15" s="215"/>
      <c r="AB15" s="215"/>
      <c r="AC15" s="215"/>
      <c r="AD15" s="215"/>
      <c r="AE15" s="215"/>
      <c r="AF15" s="216"/>
      <c r="AG15" s="217"/>
      <c r="AH15" s="215"/>
      <c r="AI15" s="215"/>
      <c r="AJ15" s="215"/>
      <c r="AK15" s="215"/>
      <c r="AL15" s="215"/>
      <c r="AM15" s="216"/>
      <c r="AN15" s="217"/>
      <c r="AO15" s="217"/>
      <c r="AP15" s="217"/>
      <c r="AQ15" s="215"/>
      <c r="AR15" s="215"/>
      <c r="AS15" s="215"/>
      <c r="AT15" s="216"/>
      <c r="AU15" s="217"/>
      <c r="AV15" s="215"/>
      <c r="AW15" s="215"/>
      <c r="AX15" s="215"/>
      <c r="AY15" s="218"/>
      <c r="AZ15" s="215"/>
      <c r="BA15" s="216"/>
      <c r="BB15" s="217"/>
      <c r="BC15" s="215"/>
      <c r="BD15" s="215"/>
      <c r="BE15" s="215"/>
      <c r="BF15" s="215"/>
      <c r="BG15" s="215"/>
      <c r="BH15" s="216"/>
      <c r="BI15" s="217"/>
      <c r="BJ15" s="217"/>
      <c r="BK15" s="215"/>
      <c r="BL15" s="215"/>
      <c r="BM15" s="215"/>
      <c r="BN15" s="215"/>
      <c r="BO15" s="216"/>
      <c r="BP15" s="217"/>
      <c r="BQ15" s="215"/>
      <c r="BR15" s="215"/>
      <c r="BS15" s="215"/>
      <c r="BT15" s="215"/>
      <c r="BU15" s="215"/>
      <c r="BV15" s="216"/>
      <c r="BW15" s="217"/>
      <c r="BX15" s="215"/>
      <c r="BY15" s="215"/>
      <c r="BZ15" s="215"/>
      <c r="CA15" s="215"/>
      <c r="CB15" s="264"/>
    </row>
    <row r="16" spans="1:80" s="28" customFormat="1" ht="20.100000000000001" customHeight="1" thickTop="1" thickBot="1">
      <c r="A16" s="219">
        <v>9</v>
      </c>
      <c r="B16" s="219">
        <v>1</v>
      </c>
      <c r="C16" s="219" t="s">
        <v>268</v>
      </c>
      <c r="D16" s="219">
        <v>12</v>
      </c>
      <c r="E16" s="220" t="s">
        <v>131</v>
      </c>
      <c r="F16" s="221" t="s">
        <v>267</v>
      </c>
      <c r="G16" s="222">
        <v>44084</v>
      </c>
      <c r="H16" s="269">
        <v>44088</v>
      </c>
      <c r="I16" s="222"/>
      <c r="J16" s="269"/>
      <c r="K16" s="223"/>
      <c r="L16" s="270"/>
      <c r="M16" s="224">
        <v>80</v>
      </c>
      <c r="N16" s="225"/>
      <c r="O16" s="226">
        <v>13</v>
      </c>
      <c r="P16" s="227"/>
      <c r="Q16" s="228"/>
      <c r="R16" s="271"/>
      <c r="S16" s="229"/>
      <c r="T16" s="230"/>
      <c r="U16" s="231"/>
      <c r="V16" s="232"/>
      <c r="W16" s="232"/>
      <c r="X16" s="232"/>
      <c r="Y16" s="233"/>
      <c r="Z16" s="234"/>
      <c r="AA16" s="232"/>
      <c r="AB16" s="232"/>
      <c r="AC16" s="232"/>
      <c r="AD16" s="232"/>
      <c r="AE16" s="232"/>
      <c r="AF16" s="233"/>
      <c r="AG16" s="234"/>
      <c r="AH16" s="232"/>
      <c r="AI16" s="232"/>
      <c r="AJ16" s="232"/>
      <c r="AK16" s="232"/>
      <c r="AL16" s="232"/>
      <c r="AM16" s="233"/>
      <c r="AN16" s="234"/>
      <c r="AO16" s="234"/>
      <c r="AP16" s="234"/>
      <c r="AQ16" s="232"/>
      <c r="AR16" s="232"/>
      <c r="AS16" s="232"/>
      <c r="AT16" s="233"/>
      <c r="AU16" s="234"/>
      <c r="AV16" s="232"/>
      <c r="AW16" s="232"/>
      <c r="AX16" s="232"/>
      <c r="AY16" s="235"/>
      <c r="AZ16" s="232"/>
      <c r="BA16" s="233"/>
      <c r="BB16" s="234"/>
      <c r="BC16" s="232"/>
      <c r="BD16" s="232"/>
      <c r="BE16" s="232"/>
      <c r="BF16" s="232"/>
      <c r="BG16" s="232"/>
      <c r="BH16" s="233"/>
      <c r="BI16" s="234"/>
      <c r="BJ16" s="234"/>
      <c r="BK16" s="232"/>
      <c r="BL16" s="232"/>
      <c r="BM16" s="232"/>
      <c r="BN16" s="232"/>
      <c r="BO16" s="233"/>
      <c r="BP16" s="234"/>
      <c r="BQ16" s="232"/>
      <c r="BR16" s="232"/>
      <c r="BS16" s="232"/>
      <c r="BT16" s="232"/>
      <c r="BU16" s="232"/>
      <c r="BV16" s="233"/>
      <c r="BW16" s="234"/>
      <c r="BX16" s="232"/>
      <c r="BY16" s="232"/>
      <c r="BZ16" s="232"/>
      <c r="CA16" s="232"/>
      <c r="CB16" s="272"/>
    </row>
    <row r="17" spans="1:80" s="28" customFormat="1" ht="20.100000000000001" customHeight="1" thickTop="1" thickBot="1">
      <c r="A17" s="219">
        <v>15</v>
      </c>
      <c r="B17" s="219">
        <v>1</v>
      </c>
      <c r="C17" s="219"/>
      <c r="D17" s="219">
        <v>20</v>
      </c>
      <c r="E17" s="220" t="s">
        <v>126</v>
      </c>
      <c r="F17" s="221" t="s">
        <v>273</v>
      </c>
      <c r="G17" s="222">
        <v>44097</v>
      </c>
      <c r="H17" s="269">
        <v>44098</v>
      </c>
      <c r="I17" s="222"/>
      <c r="J17" s="269"/>
      <c r="K17" s="223"/>
      <c r="L17" s="270"/>
      <c r="M17" s="224"/>
      <c r="N17" s="225"/>
      <c r="O17" s="226">
        <v>20</v>
      </c>
      <c r="P17" s="227"/>
      <c r="Q17" s="228">
        <v>2</v>
      </c>
      <c r="R17" s="271">
        <v>55</v>
      </c>
      <c r="S17" s="229"/>
      <c r="T17" s="230"/>
      <c r="U17" s="231"/>
      <c r="V17" s="232"/>
      <c r="W17" s="232"/>
      <c r="X17" s="232"/>
      <c r="Y17" s="233"/>
      <c r="Z17" s="234"/>
      <c r="AA17" s="232"/>
      <c r="AB17" s="232"/>
      <c r="AC17" s="232"/>
      <c r="AD17" s="232"/>
      <c r="AE17" s="232"/>
      <c r="AF17" s="233"/>
      <c r="AG17" s="234"/>
      <c r="AH17" s="232"/>
      <c r="AI17" s="232"/>
      <c r="AJ17" s="232"/>
      <c r="AK17" s="232"/>
      <c r="AL17" s="232"/>
      <c r="AM17" s="233"/>
      <c r="AN17" s="234"/>
      <c r="AO17" s="234"/>
      <c r="AP17" s="234"/>
      <c r="AQ17" s="232"/>
      <c r="AR17" s="232"/>
      <c r="AS17" s="232"/>
      <c r="AT17" s="233"/>
      <c r="AU17" s="234"/>
      <c r="AV17" s="232"/>
      <c r="AW17" s="232"/>
      <c r="AX17" s="232"/>
      <c r="AY17" s="235"/>
      <c r="AZ17" s="232"/>
      <c r="BA17" s="233"/>
      <c r="BB17" s="234"/>
      <c r="BC17" s="232"/>
      <c r="BD17" s="232"/>
      <c r="BE17" s="232"/>
      <c r="BF17" s="232"/>
      <c r="BG17" s="232"/>
      <c r="BH17" s="233"/>
      <c r="BI17" s="234"/>
      <c r="BJ17" s="234"/>
      <c r="BK17" s="232"/>
      <c r="BL17" s="232"/>
      <c r="BM17" s="232"/>
      <c r="BN17" s="232"/>
      <c r="BO17" s="233"/>
      <c r="BP17" s="234"/>
      <c r="BQ17" s="232"/>
      <c r="BR17" s="232"/>
      <c r="BS17" s="232"/>
      <c r="BT17" s="232"/>
      <c r="BU17" s="232"/>
      <c r="BV17" s="233"/>
      <c r="BW17" s="234"/>
      <c r="BX17" s="232"/>
      <c r="BY17" s="232"/>
      <c r="BZ17" s="232"/>
      <c r="CA17" s="232"/>
      <c r="CB17" s="272"/>
    </row>
    <row r="18" spans="1:80" ht="20.100000000000001" customHeight="1" thickTop="1"/>
  </sheetData>
  <sheetProtection formatColumns="0" formatRows="0" autoFilter="0"/>
  <mergeCells count="17">
    <mergeCell ref="AY3:CB3"/>
    <mergeCell ref="E6:E8"/>
    <mergeCell ref="N2:N3"/>
    <mergeCell ref="S2:S3"/>
    <mergeCell ref="T2:T3"/>
    <mergeCell ref="A5:E5"/>
    <mergeCell ref="A2:A3"/>
    <mergeCell ref="B2:B3"/>
    <mergeCell ref="D2:D3"/>
    <mergeCell ref="M2:M3"/>
    <mergeCell ref="F2:F3"/>
    <mergeCell ref="E2:E3"/>
    <mergeCell ref="C2:C3"/>
    <mergeCell ref="E9:E11"/>
    <mergeCell ref="E12:E13"/>
    <mergeCell ref="E14:E15"/>
    <mergeCell ref="U3:AX3"/>
  </mergeCells>
  <phoneticPr fontId="22"/>
  <dataValidations count="4">
    <dataValidation imeMode="off" allowBlank="1" showInputMessage="1" showErrorMessage="1" sqref="D4 G4:T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getEnabled="ctl_Ribbon.getEnabled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  <!-- <toggleButton id="T_B015" size="large" label="タイムライン&#xD;&#xA;に追加" onAction="ctl_Ribbon.addTimeLine" supertip="選択したタスクをタイムラインに追加します" imageMso="AddExistingTasksToTimeline" getPressed="getPressed" /> -->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61</vt:i4>
      </vt:variant>
    </vt:vector>
  </HeadingPairs>
  <TitlesOfParts>
    <vt:vector size="64" baseType="lpstr">
      <vt:lpstr>Help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viewMode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Bumpei.Koizumi</cp:lastModifiedBy>
  <cp:lastPrinted>2020-09-01T05:35:14Z</cp:lastPrinted>
  <dcterms:created xsi:type="dcterms:W3CDTF">2020-07-29T06:35:44Z</dcterms:created>
  <dcterms:modified xsi:type="dcterms:W3CDTF">2020-12-08T07:33:26Z</dcterms:modified>
</cp:coreProperties>
</file>