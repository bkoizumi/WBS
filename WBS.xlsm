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64200" windowWidth="28800" windowHeight="12270" activeTab="4"/>
  </bookViews>
  <sheets>
    <sheet name="Help" sheetId="6" r:id="rId1"/>
    <sheet name="Tmp" sheetId="9" r:id="rId2"/>
    <sheet name="Notice" sheetId="5" r:id="rId3"/>
    <sheet name="設定" sheetId="4" r:id="rId4"/>
    <sheet name="メイン" sheetId="2" r:id="rId5"/>
    <sheet name="WBS (サンプル)" sheetId="7" r:id="rId6"/>
    <sheet name="チームプランナー" sheetId="11" state="veryHidden" r:id="rId7"/>
  </sheets>
  <functionGroups builtInGroupCount="18"/>
  <definedNames>
    <definedName name="baseDay">設定!$B$17</definedName>
    <definedName name="calendarEndCol">設定!$B$46</definedName>
    <definedName name="cell_AssignorList">設定!$B$7</definedName>
    <definedName name="cell_CompanyHoliday">設定!$B$9</definedName>
    <definedName name="cell_DataExtract">設定!$B$12</definedName>
    <definedName name="cell_HolidayListDay">設定!$B$10</definedName>
    <definedName name="cell_HolidayListName">設定!$B$11</definedName>
    <definedName name="cell_Info">設定!$B$43</definedName>
    <definedName name="cell_LevelInfo">設定!$B$42</definedName>
    <definedName name="cell_LineInfo">設定!$B$44</definedName>
    <definedName name="cell_PlanStart">設定!$B$50</definedName>
    <definedName name="cell_ShortcutList">設定!$B$6</definedName>
    <definedName name="cell_TaskArea">設定!$B$45</definedName>
    <definedName name="cell_unitCostorList">設定!$B$8</definedName>
    <definedName name="CompanyHolidayColor">設定!$B$23</definedName>
    <definedName name="debugMode">設定!$B$3</definedName>
    <definedName name="endDay">設定!$B$16</definedName>
    <definedName name="ganttChartLineType">設定!$B$18</definedName>
    <definedName name="lineColor">設定!$B$20</definedName>
    <definedName name="lineColor_Achievement">設定!$B$25</definedName>
    <definedName name="lineColor_Lightning">設定!$B$26</definedName>
    <definedName name="lineColor_Plan">設定!$B$24</definedName>
    <definedName name="lineColor_TaskLevel1">設定!$B$27</definedName>
    <definedName name="lineColor_TaskLevel2">設定!$B$28</definedName>
    <definedName name="lineColor_TaskLevel3">設定!$B$29</definedName>
    <definedName name="lineColorFlg">設定!$B$14</definedName>
    <definedName name="SaturdayColor">設定!$B$21</definedName>
    <definedName name="setDispProgress100">設定!$B$19</definedName>
    <definedName name="setLightning">設定!$B$13</definedName>
    <definedName name="sheetRangeStartCell">設定!$B$5</definedName>
    <definedName name="startDay">設定!$B$15</definedName>
    <definedName name="SundayColor">設定!$B$22</definedName>
    <definedName name="view_Achievement">設定!$B$33</definedName>
    <definedName name="view_Assign">設定!$B$31</definedName>
    <definedName name="view_LateOrEarly">設定!$B$38</definedName>
    <definedName name="view_Note">設定!$B$39</definedName>
    <definedName name="view_Plan">設定!$B$30</definedName>
    <definedName name="view_Progress">設定!$B$32</definedName>
    <definedName name="view_Task">設定!$B$34</definedName>
    <definedName name="view_TaskAllocation">設定!$B$36</definedName>
    <definedName name="view_TaskInfo">設定!$B$35</definedName>
    <definedName name="view_WorkLoad">設定!$B$37</definedName>
    <definedName name="viewGant_Assignor">設定!$B$41</definedName>
    <definedName name="viewGant_TaskName">設定!$B$40</definedName>
    <definedName name="workMode">設定!$B$4</definedName>
    <definedName name="休日リスト">設定!$O$3:$O$7</definedName>
    <definedName name="担当者">設定!$K$3:$K$38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2" l="1"/>
  <c r="F16" i="2"/>
  <c r="E16" i="2"/>
  <c r="D16" i="2"/>
  <c r="G15" i="2"/>
  <c r="F15" i="2"/>
  <c r="E15" i="2"/>
  <c r="D15" i="2"/>
  <c r="E14" i="2"/>
  <c r="D14" i="2"/>
  <c r="Q17" i="2"/>
  <c r="Q12" i="2"/>
  <c r="Q11" i="2"/>
  <c r="Q7" i="2"/>
  <c r="Q6" i="2"/>
  <c r="Q18" i="2"/>
  <c r="Q13" i="2"/>
  <c r="R10" i="2"/>
  <c r="Q10" i="2"/>
  <c r="R9" i="2"/>
  <c r="Q9" i="2"/>
  <c r="R8" i="2"/>
  <c r="Q8" i="2"/>
  <c r="R17" i="2"/>
  <c r="R12" i="2"/>
  <c r="R11" i="2"/>
  <c r="R7" i="2"/>
  <c r="R6" i="2"/>
  <c r="G20" i="2"/>
  <c r="F20" i="2"/>
  <c r="E20" i="2"/>
  <c r="D20" i="2"/>
  <c r="G19" i="2"/>
  <c r="F19" i="2"/>
  <c r="E19" i="2"/>
  <c r="D19" i="2"/>
  <c r="D18" i="2"/>
  <c r="D17" i="2"/>
  <c r="D13" i="2"/>
  <c r="D12" i="2"/>
  <c r="D11" i="2"/>
  <c r="D10" i="2"/>
  <c r="D9" i="2"/>
  <c r="D8" i="2"/>
  <c r="D7" i="2"/>
  <c r="D6" i="2"/>
  <c r="L18" i="2"/>
  <c r="L13" i="2"/>
  <c r="L10" i="2"/>
  <c r="L9" i="2"/>
  <c r="L8" i="2"/>
  <c r="B18" i="2"/>
  <c r="B13" i="2"/>
  <c r="B11" i="2"/>
  <c r="B7" i="2"/>
  <c r="B9" i="2"/>
  <c r="B8" i="2"/>
  <c r="B10" i="2"/>
  <c r="B6" i="2"/>
  <c r="B12" i="2"/>
  <c r="B17" i="2"/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L19" i="7"/>
  <c r="Q18" i="7"/>
  <c r="L18" i="7"/>
  <c r="Q17" i="7"/>
  <c r="L17" i="7"/>
  <c r="R16" i="7"/>
  <c r="Q16" i="7"/>
  <c r="Q15" i="7"/>
  <c r="L15" i="7"/>
  <c r="Q14" i="7"/>
  <c r="L14" i="7"/>
  <c r="Q13" i="7"/>
  <c r="L13" i="7"/>
  <c r="R12" i="7"/>
  <c r="Q12" i="7"/>
  <c r="R11" i="7"/>
  <c r="Q11" i="7"/>
  <c r="R10" i="7"/>
  <c r="Q10" i="7"/>
  <c r="L10" i="7"/>
  <c r="R9" i="7"/>
  <c r="Q9" i="7"/>
  <c r="L9" i="7"/>
  <c r="R8" i="7"/>
  <c r="Q8" i="7"/>
  <c r="L8" i="7"/>
  <c r="R7" i="7"/>
  <c r="Q7" i="7"/>
  <c r="R6" i="7"/>
  <c r="Q6" i="7"/>
  <c r="B17" i="4"/>
  <c r="B6" i="7"/>
  <c r="B16" i="7"/>
  <c r="B18" i="7"/>
  <c r="B15" i="7"/>
  <c r="B11" i="7"/>
  <c r="B14" i="7"/>
  <c r="B12" i="7"/>
  <c r="B7" i="7"/>
  <c r="B8" i="7"/>
  <c r="B10" i="7"/>
  <c r="B9" i="7"/>
  <c r="B19" i="7"/>
  <c r="B17" i="7"/>
  <c r="B13" i="7"/>
</calcChain>
</file>

<file path=xl/comments1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3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<sst xmlns="http://schemas.openxmlformats.org/spreadsheetml/2006/main" count="373" uniqueCount="266">
  <si>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</si>
  <si>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</si>
  <si>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</si>
  <si>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</si>
  <si>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</si>
  <si>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</si>
  <si>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</si>
  <si>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</si>
  <si>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</si>
  <si>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■ショートカットキー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</si>
  <si>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</si>
  <si>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</si>
  <si>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</si>
  <si>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</si>
  <si>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</si>
  <si>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</si>
  <si>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</si>
  <si>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</si>
  <si>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</si>
  <si>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</si>
  <si>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</si>
  <si>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</si>
  <si>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</si>
  <si>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</si>
  <si>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</si>
  <si>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マイルストーン</t>
    <phoneticPr fontId="22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</si>
  <si>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</si>
  <si>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workMode</t>
    <phoneticPr fontId="20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</si>
  <si>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</si>
  <si>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</si>
  <si>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</si>
  <si>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</si>
  <si>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</si>
  <si>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</si>
  <si>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</si>
  <si>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</si>
  <si>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</si>
  <si>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</si>
  <si>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</si>
  <si>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</si>
  <si>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</si>
  <si>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setLightning</t>
  </si>
  <si>
    <t>ganttChartLineType</t>
    <phoneticPr fontId="20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</si>
  <si>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</si>
  <si>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</si>
  <si>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</si>
  <si>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</si>
  <si>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</si>
  <si>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</si>
  <si>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</si>
  <si>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</si>
  <si>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</si>
  <si>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</si>
  <si>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</si>
  <si>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</si>
  <si>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</si>
  <si>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</si>
  <si>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</si>
  <si>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</si>
  <si>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</si>
  <si>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</si>
  <si>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Type2</t>
    <phoneticPr fontId="20"/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</si>
  <si>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</si>
  <si>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</si>
  <si>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</si>
  <si>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</si>
  <si>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</si>
  <si>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</si>
  <si>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</si>
  <si>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</si>
  <si>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</si>
  <si>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</si>
  <si>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</si>
  <si>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</si>
  <si>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</si>
  <si>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</si>
  <si>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</si>
  <si>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</si>
  <si>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</si>
  <si>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</si>
  <si>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</si>
  <si>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</si>
  <si>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</si>
  <si>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</si>
  <si>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</si>
  <si>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</si>
  <si>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</si>
  <si>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</si>
  <si>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</si>
  <si>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</si>
  <si>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</si>
  <si>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</si>
  <si>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</si>
  <si>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t>敬老の日</t>
  </si>
  <si>
    <t>秋分の日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</si>
  <si>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</si>
  <si>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</si>
  <si>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</si>
  <si>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</si>
  <si>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</si>
  <si>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</si>
  <si>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</si>
  <si>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</si>
  <si>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</si>
  <si>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</si>
  <si>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1-*．ショートカット</t>
  </si>
  <si>
    <t>タスク名称セルで機能します</t>
    <rPh sb="3" eb="5">
      <t>メイショウ</t>
    </rPh>
    <rPh sb="8" eb="10">
      <t>キノウ</t>
    </rPh>
    <phoneticPr fontId="22"/>
  </si>
  <si>
    <t>default</t>
  </si>
  <si>
    <t>cell_Note</t>
  </si>
  <si>
    <t>先行タスク</t>
    <phoneticPr fontId="22"/>
  </si>
  <si>
    <t>cell_Progress</t>
  </si>
  <si>
    <t>cell_Task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</si>
  <si>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</si>
  <si>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</si>
  <si>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</si>
  <si>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</si>
  <si>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</si>
  <si>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</si>
  <si>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</si>
  <si>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cell_TaskArea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</si>
  <si>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</si>
  <si>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</si>
  <si>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</si>
  <si>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</si>
  <si>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</si>
  <si>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</si>
  <si>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</si>
  <si>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</si>
  <si>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</si>
  <si>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</si>
  <si>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</si>
  <si>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</si>
  <si>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</si>
  <si>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</si>
  <si>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</si>
  <si>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</si>
  <si>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</si>
  <si>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</si>
  <si>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</si>
  <si>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</si>
  <si>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</si>
  <si>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</si>
  <si>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</si>
  <si>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</si>
  <si>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</si>
  <si>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</si>
  <si>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</si>
  <si>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</si>
  <si>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</si>
  <si>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</si>
  <si>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</si>
  <si>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</si>
  <si>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</si>
  <si>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</si>
  <si>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</si>
  <si>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</si>
  <si>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</si>
  <si>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</si>
  <si>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</si>
  <si>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</si>
  <si>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</si>
  <si>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</si>
  <si>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</si>
  <si>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</si>
  <si>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</si>
  <si>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</si>
  <si>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</si>
  <si>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</si>
  <si>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</si>
  <si>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</si>
  <si>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</si>
  <si>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</si>
  <si>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</si>
  <si>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</si>
  <si>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</si>
  <si>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cell_TaskInfoC</t>
  </si>
  <si>
    <t>cell_WorkLoadP</t>
  </si>
  <si>
    <t>cell_WorkLoadA</t>
  </si>
  <si>
    <t>cell_LateOrEarly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</si>
  <si>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</si>
  <si>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</si>
  <si>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</si>
  <si>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</si>
  <si>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</si>
  <si>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</si>
  <si>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</si>
  <si>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</si>
  <si>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タスク_B</t>
    <phoneticPr fontId="9"/>
  </si>
  <si>
    <t>タスク_C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</si>
  <si>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</si>
  <si>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</si>
  <si>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</si>
  <si>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</si>
  <si>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</si>
  <si>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</si>
  <si>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</si>
  <si>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</si>
  <si>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cell_ShortcutList</t>
    <phoneticPr fontId="20"/>
  </si>
  <si>
    <t>G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</si>
  <si>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</si>
  <si>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</si>
  <si>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</si>
  <si>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会社指定休日</t>
  </si>
  <si>
    <t>山の日</t>
  </si>
  <si>
    <t>タスク配分</t>
    <rPh sb="3" eb="5">
      <t>ハイブン</t>
    </rPh>
    <phoneticPr fontId="22"/>
  </si>
  <si>
    <t>view_TaskAllocation</t>
    <phoneticPr fontId="20"/>
  </si>
  <si>
    <t>cell_TaskAllocation</t>
  </si>
  <si>
    <t>T</t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</si>
  <si>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</si>
  <si>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</si>
  <si>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</si>
  <si>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</si>
  <si>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ランディングページ_A、B</t>
    <phoneticPr fontId="9"/>
  </si>
  <si>
    <t>ランディングページ_B</t>
    <phoneticPr fontId="9"/>
  </si>
  <si>
    <t>ランディングページ_C</t>
    <phoneticPr fontId="9"/>
  </si>
  <si>
    <t>修正</t>
    <rPh sb="0" eb="2">
      <t>シュウセイ</t>
    </rPh>
    <phoneticPr fontId="9"/>
  </si>
  <si>
    <t>7:19</t>
  </si>
  <si>
    <t>12:19</t>
  </si>
  <si>
    <t>17:19</t>
  </si>
  <si>
    <t>ランディングページ_A、B、外A</t>
    <phoneticPr fontId="9"/>
  </si>
  <si>
    <t>L</t>
    <phoneticPr fontId="20"/>
  </si>
  <si>
    <t>cell_unitCostorList</t>
    <phoneticPr fontId="20"/>
  </si>
  <si>
    <t>会社指定休日</t>
    <rPh sb="0" eb="6">
      <t>カイシャシテ</t>
    </rPh>
    <phoneticPr fontId="20"/>
  </si>
  <si>
    <t>期間中の休日リスト</t>
    <phoneticPr fontId="20"/>
  </si>
  <si>
    <t>構成案修正</t>
  </si>
  <si>
    <t>体育の日</t>
    <phoneticPr fontId="20"/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</si>
  <si>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</si>
  <si>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</si>
  <si>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</si>
  <si>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</si>
  <si>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</si>
  <si>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</si>
  <si>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</si>
  <si>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</si>
  <si>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</si>
  <si>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</si>
  <si>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</si>
  <si>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</si>
  <si>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</si>
  <si>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</si>
  <si>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develop</t>
    <phoneticPr fontId="20"/>
  </si>
  <si>
    <t>E</t>
    <phoneticPr fontId="20"/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</si>
  <si>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</si>
  <si>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</si>
  <si>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</si>
  <si>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</si>
  <si>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</si>
  <si>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U</t>
  </si>
  <si>
    <t>CB</t>
    <phoneticPr fontId="20"/>
  </si>
  <si>
    <t>複</t>
  </si>
  <si>
    <t>18:20</t>
  </si>
  <si>
    <t>＋</t>
    <phoneticPr fontId="9"/>
  </si>
  <si>
    <t>要員A&lt;&gt;10,要員B&lt;&gt;10,外注A&lt;&gt;80</t>
    <phoneticPr fontId="9"/>
  </si>
  <si>
    <t>7:20</t>
  </si>
  <si>
    <t>12:20</t>
  </si>
  <si>
    <t>13:16</t>
  </si>
  <si>
    <t>タスク_A</t>
  </si>
  <si>
    <t>ランディングページ_A、B、外A</t>
  </si>
  <si>
    <t>タスク_E</t>
  </si>
  <si>
    <t>タスク_E</t>
    <phoneticPr fontId="9"/>
  </si>
  <si>
    <t>タスク_I</t>
  </si>
  <si>
    <t>タスク_I</t>
    <phoneticPr fontId="9"/>
  </si>
  <si>
    <t>ランディングページ_A、B、外A</t>
    <rPh sb="14" eb="16">
      <t>ガイ</t>
    </rPh>
    <phoneticPr fontId="9"/>
  </si>
  <si>
    <t>ランディングページ_A、C</t>
    <phoneticPr fontId="9"/>
  </si>
  <si>
    <t>要員A,要員C</t>
    <phoneticPr fontId="20"/>
  </si>
  <si>
    <t>要員A&lt;&gt;,要員C&lt;&gt;</t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</si>
</sst>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</borders>
  <cellStyleXfs count="55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Alignment="0" applyProtection="0">
      <alignment horizontal="center" vertical="center" wrapText="1"/>
    </xf>
  </cellStyleXfs>
  <cellXfs count="247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182" fontId="33" fillId="45" borderId="11" xfId="52" applyNumberFormat="1" applyFont="1" applyFill="1" applyBorder="1" applyAlignment="1" applyProtection="1">
      <alignment horizontal="center" vertical="center"/>
    </xf>
    <xf numFmtId="0" fontId="0" fillId="0" borderId="12" xfId="0" applyFill="1" applyBorder="1" applyAlignment="1">
      <alignment horizontal="left" vertical="center" wrapText="1"/>
      <protection locked="0"/>
    </xf>
    <xf numFmtId="182" fontId="32" fillId="45" borderId="11" xfId="52" applyNumberFormat="1" applyFont="1" applyFill="1" applyBorder="1" applyAlignment="1" applyProtection="1">
      <alignment horizontal="center" vertical="center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181" fontId="0" fillId="0" borderId="22" xfId="0" applyNumberFormat="1" applyBorder="1" applyAlignment="1">
      <alignment horizontal="center" vertical="center"/>
      <protection locked="0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184" fontId="0" fillId="55" borderId="23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4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184" fontId="0" fillId="0" borderId="26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31" fillId="45" borderId="10" xfId="0" applyNumberFormat="1" applyFont="1" applyFill="1" applyBorder="1" applyAlignment="1" applyProtection="1">
      <alignment vertical="center"/>
    </xf>
    <xf numFmtId="0" fontId="31" fillId="45" borderId="11" xfId="0" applyNumberFormat="1" applyFon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center" vertical="center"/>
    </xf>
    <xf numFmtId="180" fontId="0" fillId="0" borderId="29" xfId="0" applyNumberFormat="1" applyFill="1" applyBorder="1" applyAlignment="1" applyProtection="1">
      <alignment horizontal="center" vertical="center"/>
    </xf>
    <xf numFmtId="182" fontId="0" fillId="0" borderId="29" xfId="0" applyNumberFormat="1" applyFill="1" applyBorder="1" applyAlignment="1" applyProtection="1">
      <alignment horizontal="center" vertical="center"/>
    </xf>
    <xf numFmtId="0" fontId="0" fillId="0" borderId="30" xfId="0" applyNumberFormat="1" applyFill="1" applyBorder="1" applyAlignment="1" applyProtection="1">
      <alignment horizontal="left" vertical="center"/>
    </xf>
    <xf numFmtId="0" fontId="0" fillId="0" borderId="31" xfId="0" applyNumberFormat="1" applyFill="1" applyBorder="1" applyAlignment="1" applyProtection="1">
      <alignment horizontal="center" vertical="center" wrapText="1"/>
    </xf>
    <xf numFmtId="49" fontId="0" fillId="0" borderId="32" xfId="0" applyNumberFormat="1" applyFill="1" applyBorder="1" applyAlignment="1" applyProtection="1">
      <alignment horizontal="center" vertical="center" wrapText="1"/>
    </xf>
    <xf numFmtId="187" fontId="0" fillId="0" borderId="32" xfId="0" applyNumberFormat="1" applyFill="1" applyBorder="1" applyAlignment="1" applyProtection="1">
      <alignment horizontal="center" vertical="center" wrapText="1"/>
    </xf>
    <xf numFmtId="184" fontId="0" fillId="0" borderId="33" xfId="0" applyNumberFormat="1" applyFill="1" applyBorder="1" applyAlignment="1" applyProtection="1">
      <alignment horizontal="center" vertical="center"/>
    </xf>
    <xf numFmtId="184" fontId="0" fillId="0" borderId="32" xfId="0" applyNumberFormat="1" applyFill="1" applyBorder="1" applyAlignment="1" applyProtection="1">
      <alignment horizontal="center" vertical="center"/>
    </xf>
    <xf numFmtId="184" fontId="0" fillId="54" borderId="32" xfId="0" applyNumberFormat="1" applyFill="1" applyBorder="1" applyAlignment="1" applyProtection="1">
      <alignment horizontal="center" vertical="center"/>
    </xf>
    <xf numFmtId="184" fontId="0" fillId="55" borderId="32" xfId="0" applyNumberFormat="1" applyFill="1" applyBorder="1" applyAlignment="1" applyProtection="1">
      <alignment horizontal="center" vertical="center"/>
    </xf>
    <xf numFmtId="184" fontId="0" fillId="0" borderId="31" xfId="0" applyNumberFormat="1" applyFill="1" applyBorder="1" applyAlignment="1" applyProtection="1">
      <alignment horizontal="center" vertical="center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0" fontId="0" fillId="56" borderId="12" xfId="0" applyFill="1" applyBorder="1">
      <alignment vertical="center"/>
      <protection locked="0"/>
    </xf>
    <xf numFmtId="0" fontId="0" fillId="56" borderId="12" xfId="0" applyFill="1" applyBorder="1" applyAlignment="1">
      <alignment horizontal="center" vertical="center"/>
      <protection locked="0"/>
    </xf>
    <xf numFmtId="0" fontId="30" fillId="42" borderId="22" xfId="0" applyFont="1" applyFill="1" applyBorder="1" applyAlignment="1">
      <alignment horizontal="center" vertical="center" wrapText="1"/>
      <protection locked="0"/>
    </xf>
    <xf numFmtId="0" fontId="0" fillId="0" borderId="36" xfId="0" applyNumberFormat="1" applyFill="1" applyBorder="1" applyAlignment="1" applyProtection="1">
      <alignment horizontal="center" vertical="center"/>
    </xf>
    <xf numFmtId="0" fontId="0" fillId="0" borderId="37" xfId="0" applyNumberFormat="1" applyFill="1" applyBorder="1" applyAlignment="1" applyProtection="1">
      <alignment horizontal="center" vertical="center"/>
    </xf>
    <xf numFmtId="180" fontId="0" fillId="0" borderId="38" xfId="0" applyNumberFormat="1" applyFill="1" applyBorder="1" applyAlignment="1" applyProtection="1">
      <alignment horizontal="center" vertical="center"/>
    </xf>
    <xf numFmtId="182" fontId="0" fillId="0" borderId="38" xfId="0" applyNumberFormat="1" applyFill="1" applyBorder="1" applyAlignment="1" applyProtection="1">
      <alignment horizontal="center" vertical="center"/>
    </xf>
    <xf numFmtId="0" fontId="0" fillId="0" borderId="39" xfId="0" applyNumberFormat="1" applyFill="1" applyBorder="1" applyAlignment="1" applyProtection="1">
      <alignment horizontal="left" vertical="center"/>
    </xf>
    <xf numFmtId="0" fontId="0" fillId="0" borderId="37" xfId="0" applyNumberFormat="1" applyFill="1" applyBorder="1" applyAlignment="1" applyProtection="1">
      <alignment horizontal="center" vertical="center" wrapText="1"/>
    </xf>
    <xf numFmtId="49" fontId="0" fillId="0" borderId="40" xfId="0" applyNumberFormat="1" applyFill="1" applyBorder="1" applyAlignment="1" applyProtection="1">
      <alignment horizontal="center" vertical="center" wrapText="1"/>
    </xf>
    <xf numFmtId="187" fontId="0" fillId="0" borderId="40" xfId="0" applyNumberFormat="1" applyFill="1" applyBorder="1" applyAlignment="1" applyProtection="1">
      <alignment horizontal="center" vertical="center" wrapText="1"/>
    </xf>
    <xf numFmtId="184" fontId="0" fillId="0" borderId="41" xfId="0" applyNumberFormat="1" applyFill="1" applyBorder="1" applyAlignment="1" applyProtection="1">
      <alignment horizontal="center" vertical="center"/>
    </xf>
    <xf numFmtId="184" fontId="0" fillId="0" borderId="40" xfId="0" applyNumberFormat="1" applyFill="1" applyBorder="1" applyAlignment="1" applyProtection="1">
      <alignment horizontal="center" vertical="center"/>
    </xf>
    <xf numFmtId="184" fontId="0" fillId="54" borderId="40" xfId="0" applyNumberFormat="1" applyFill="1" applyBorder="1" applyAlignment="1" applyProtection="1">
      <alignment horizontal="center" vertical="center"/>
    </xf>
    <xf numFmtId="184" fontId="0" fillId="55" borderId="40" xfId="0" applyNumberFormat="1" applyFill="1" applyBorder="1" applyAlignment="1" applyProtection="1">
      <alignment horizontal="center" vertical="center"/>
    </xf>
    <xf numFmtId="184" fontId="0" fillId="0" borderId="37" xfId="0" applyNumberFormat="1" applyFill="1" applyBorder="1" applyAlignment="1" applyProtection="1">
      <alignment horizontal="center" vertical="center"/>
    </xf>
    <xf numFmtId="0" fontId="0" fillId="0" borderId="27" xfId="0" applyNumberFormat="1" applyFill="1" applyBorder="1" applyAlignment="1" applyProtection="1">
      <alignment horizontal="left" vertical="center"/>
    </xf>
    <xf numFmtId="0" fontId="0" fillId="0" borderId="36" xfId="0" applyNumberFormat="1" applyFill="1" applyBorder="1" applyAlignment="1" applyProtection="1">
      <alignment horizontal="left" vertical="center"/>
    </xf>
    <xf numFmtId="0" fontId="0" fillId="0" borderId="42" xfId="0" applyFill="1" applyBorder="1" applyAlignment="1">
      <alignment vertical="center" wrapText="1"/>
      <protection locked="0"/>
    </xf>
    <xf numFmtId="0" fontId="0" fillId="33" borderId="43" xfId="0" applyFill="1" applyBorder="1">
      <alignment vertical="center"/>
      <protection locked="0"/>
    </xf>
    <xf numFmtId="0" fontId="0" fillId="34" borderId="43" xfId="0" applyFill="1" applyBorder="1">
      <alignment vertical="center"/>
      <protection locked="0"/>
    </xf>
    <xf numFmtId="0" fontId="0" fillId="35" borderId="43" xfId="0" applyFill="1" applyBorder="1">
      <alignment vertical="center"/>
      <protection locked="0"/>
    </xf>
    <xf numFmtId="0" fontId="0" fillId="36" borderId="43" xfId="0" applyFill="1" applyBorder="1">
      <alignment vertical="center"/>
      <protection locked="0"/>
    </xf>
    <xf numFmtId="0" fontId="0" fillId="49" borderId="43" xfId="0" applyFill="1" applyBorder="1">
      <alignment vertical="center"/>
      <protection locked="0"/>
    </xf>
    <xf numFmtId="0" fontId="0" fillId="50" borderId="43" xfId="0" applyFill="1" applyBorder="1">
      <alignment vertical="center"/>
      <protection locked="0"/>
    </xf>
    <xf numFmtId="0" fontId="0" fillId="51" borderId="43" xfId="0" applyFill="1" applyBorder="1">
      <alignment vertical="center"/>
      <protection locked="0"/>
    </xf>
    <xf numFmtId="0" fontId="0" fillId="52" borderId="43" xfId="0" applyFill="1" applyBorder="1">
      <alignment vertical="center"/>
      <protection locked="0"/>
    </xf>
    <xf numFmtId="0" fontId="0" fillId="37" borderId="43" xfId="0" applyFill="1" applyBorder="1">
      <alignment vertical="center"/>
      <protection locked="0"/>
    </xf>
    <xf numFmtId="0" fontId="0" fillId="38" borderId="43" xfId="0" applyFill="1" applyBorder="1">
      <alignment vertical="center"/>
      <protection locked="0"/>
    </xf>
    <xf numFmtId="0" fontId="0" fillId="41" borderId="43" xfId="0" applyFill="1" applyBorder="1">
      <alignment vertical="center"/>
      <protection locked="0"/>
    </xf>
    <xf numFmtId="0" fontId="0" fillId="47" borderId="43" xfId="0" applyFill="1" applyBorder="1">
      <alignment vertical="center"/>
      <protection locked="0"/>
    </xf>
    <xf numFmtId="0" fontId="0" fillId="39" borderId="43" xfId="0" applyFill="1" applyBorder="1">
      <alignment vertical="center"/>
      <protection locked="0"/>
    </xf>
    <xf numFmtId="0" fontId="0" fillId="40" borderId="43" xfId="0" applyFill="1" applyBorder="1">
      <alignment vertical="center"/>
      <protection locked="0"/>
    </xf>
    <xf numFmtId="0" fontId="0" fillId="40" borderId="44" xfId="0" applyFill="1" applyBorder="1">
      <alignment vertical="center"/>
      <protection locked="0"/>
    </xf>
    <xf numFmtId="3" fontId="0" fillId="0" borderId="12" xfId="0" applyNumberFormat="1" applyFill="1" applyBorder="1" applyAlignment="1">
      <alignment vertical="center" wrapText="1"/>
      <protection locked="0"/>
    </xf>
    <xf numFmtId="14" fontId="0" fillId="0" borderId="0" xfId="0" applyNumberFormat="1" applyFill="1" applyAlignment="1">
      <alignment wrapText="1"/>
      <protection locked="0"/>
    </xf>
    <xf numFmtId="187" fontId="30" fillId="42" borderId="35" xfId="0" applyNumberFormat="1" applyFont="1" applyFill="1" applyBorder="1" applyAlignment="1">
      <alignment horizontal="center" vertical="center" wrapText="1"/>
      <protection locked="0"/>
    </xf>
    <xf numFmtId="0" fontId="30" fillId="42" borderId="35" xfId="0" applyFont="1" applyFill="1" applyBorder="1" applyAlignment="1">
      <alignment horizontal="center" vertical="center" wrapText="1"/>
      <protection locked="0"/>
    </xf>
    <xf numFmtId="181" fontId="0" fillId="0" borderId="35" xfId="0" applyNumberFormat="1" applyBorder="1" applyAlignment="1">
      <alignment horizontal="center" vertical="center"/>
      <protection locked="0"/>
    </xf>
    <xf numFmtId="0" fontId="0" fillId="0" borderId="44" xfId="0" applyNumberFormat="1" applyFill="1" applyBorder="1" applyAlignment="1" applyProtection="1">
      <alignment horizontal="center" vertical="center"/>
    </xf>
    <xf numFmtId="0" fontId="0" fillId="0" borderId="44" xfId="0" applyNumberFormat="1" applyFill="1" applyBorder="1" applyAlignment="1" applyProtection="1">
      <alignment horizontal="left" vertical="center"/>
    </xf>
    <xf numFmtId="187" fontId="0" fillId="43" borderId="44" xfId="0" applyNumberFormat="1" applyFont="1" applyFill="1" applyBorder="1" applyAlignment="1" applyProtection="1">
      <alignment horizontal="centerContinuous" vertical="center" shrinkToFit="1"/>
    </xf>
    <xf numFmtId="187" fontId="0" fillId="43" borderId="46" xfId="0" applyNumberFormat="1" applyFont="1" applyFill="1" applyBorder="1" applyAlignment="1" applyProtection="1">
      <alignment horizontal="center" vertical="center" shrinkToFit="1"/>
    </xf>
    <xf numFmtId="187" fontId="0" fillId="0" borderId="46" xfId="0" applyNumberFormat="1" applyFill="1" applyBorder="1" applyAlignment="1" applyProtection="1">
      <alignment horizontal="center" vertical="center" wrapText="1"/>
    </xf>
    <xf numFmtId="187" fontId="0" fillId="45" borderId="45" xfId="0" applyNumberFormat="1" applyFill="1" applyBorder="1" applyAlignment="1" applyProtection="1">
      <alignment horizontal="center" vertical="center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44" xfId="0" applyNumberFormat="1" applyFill="1" applyBorder="1" applyAlignment="1" applyProtection="1">
      <alignment horizontal="left" vertical="center" shrinkToFit="1"/>
    </xf>
    <xf numFmtId="0" fontId="0" fillId="0" borderId="27" xfId="0" applyNumberFormat="1" applyFill="1" applyBorder="1" applyAlignment="1" applyProtection="1">
      <alignment horizontal="left" vertical="center" shrinkToFit="1"/>
    </xf>
    <xf numFmtId="0" fontId="0" fillId="0" borderId="36" xfId="0" applyNumberFormat="1" applyFill="1" applyBorder="1" applyAlignment="1" applyProtection="1">
      <alignment horizontal="left" vertical="center" shrinkToFit="1"/>
    </xf>
    <xf numFmtId="183" fontId="0" fillId="0" borderId="11" xfId="0" applyNumberFormat="1" applyFill="1" applyBorder="1" applyAlignment="1" applyProtection="1">
      <alignment horizontal="center" vertical="center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3" applyFont="1" applyAlignment="1">
      <alignment horizontal="left" vertical="center" shrinkToFit="1"/>
      <protection locked="0"/>
    </xf>
    <xf numFmtId="0" fontId="29" fillId="0" borderId="0" xfId="53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34" xfId="0" applyNumberFormat="1" applyFont="1" applyFill="1" applyBorder="1" applyAlignment="1">
      <alignment horizontal="center" vertical="center"/>
      <protection locked="0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11" xfId="0" applyNumberFormat="1" applyFill="1" applyBorder="1" applyAlignment="1" applyProtection="1">
      <alignment horizontal="center" vertical="center"/>
    </xf>
    <xf numFmtId="183" fontId="0" fillId="0" borderId="26" xfId="0" applyNumberFormat="1" applyFill="1" applyBorder="1" applyAlignment="1" applyProtection="1">
      <alignment horizontal="center" vertical="center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28" xfId="0" applyNumberFormat="1" applyFill="1" applyBorder="1" applyAlignment="1" applyProtection="1">
      <alignment horizontal="center" vertical="center"/>
    </xf>
    <xf numFmtId="183" fontId="0" fillId="0" borderId="51" xfId="0" applyNumberFormat="1" applyFill="1" applyBorder="1" applyAlignment="1" applyProtection="1">
      <alignment horizontal="center" vertical="center"/>
    </xf>
    <xf numFmtId="184" fontId="0" fillId="0" borderId="52" xfId="0" applyNumberFormat="1" applyFill="1" applyBorder="1" applyAlignment="1" applyProtection="1">
      <alignment horizontal="center" vertical="center"/>
    </xf>
    <xf numFmtId="0" fontId="0" fillId="48" borderId="53" xfId="0" applyNumberFormat="1" applyFill="1" applyBorder="1" applyAlignment="1" applyProtection="1">
      <alignment vertical="center"/>
    </xf>
    <xf numFmtId="0" fontId="0" fillId="43" borderId="53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0" fontId="0" fillId="0" borderId="26" xfId="0" applyNumberFormat="1" applyFill="1" applyBorder="1" applyAlignment="1" applyProtection="1">
      <alignment vertical="center"/>
    </xf>
    <xf numFmtId="0" fontId="0" fillId="45" borderId="26" xfId="0" applyNumberFormat="1" applyFill="1" applyBorder="1" applyAlignment="1" applyProtection="1">
      <alignment horizontal="center" vertical="center"/>
    </xf>
    <xf numFmtId="186" fontId="0" fillId="43" borderId="50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186" fontId="0" fillId="0" borderId="11" xfId="0" applyNumberFormat="1" applyFill="1" applyBorder="1" applyAlignment="1" applyProtection="1">
      <alignment horizontal="center" vertical="center"/>
    </xf>
    <xf numFmtId="186" fontId="33" fillId="45" borderId="11" xfId="47" applyNumberFormat="1" applyFont="1" applyFill="1" applyBorder="1" applyAlignment="1" applyProtection="1">
      <alignment horizontal="center" vertical="center"/>
    </xf>
    <xf numFmtId="180" fontId="0" fillId="0" borderId="48" xfId="0" applyNumberFormat="1" applyFill="1" applyBorder="1" applyAlignment="1" applyProtection="1">
      <alignment horizontal="center" vertical="center"/>
    </xf>
    <xf numFmtId="182" fontId="0" fillId="0" borderId="48" xfId="0" applyNumberFormat="1" applyFill="1" applyBorder="1" applyAlignment="1" applyProtection="1">
      <alignment horizontal="center" vertical="center"/>
    </xf>
    <xf numFmtId="187" fontId="0" fillId="0" borderId="48" xfId="0" applyNumberFormat="1" applyFill="1" applyBorder="1" applyAlignment="1" applyProtection="1">
      <alignment horizontal="center" vertical="center" wrapText="1"/>
    </xf>
    <xf numFmtId="186" fontId="0" fillId="0" borderId="30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vertical="center"/>
    </xf>
    <xf numFmtId="184" fontId="0" fillId="0" borderId="54" xfId="0" applyNumberFormat="1" applyFill="1" applyBorder="1" applyAlignment="1" applyProtection="1">
      <alignment horizontal="center" vertical="center"/>
    </xf>
    <xf numFmtId="180" fontId="0" fillId="0" borderId="49" xfId="0" applyNumberFormat="1" applyFill="1" applyBorder="1" applyAlignment="1" applyProtection="1">
      <alignment horizontal="center" vertical="center"/>
    </xf>
    <xf numFmtId="182" fontId="0" fillId="0" borderId="49" xfId="0" applyNumberFormat="1" applyFill="1" applyBorder="1" applyAlignment="1" applyProtection="1">
      <alignment horizontal="center" vertical="center"/>
    </xf>
    <xf numFmtId="187" fontId="0" fillId="0" borderId="49" xfId="0" applyNumberFormat="1" applyFill="1" applyBorder="1" applyAlignment="1" applyProtection="1">
      <alignment horizontal="center" vertical="center" wrapText="1"/>
    </xf>
    <xf numFmtId="186" fontId="0" fillId="0" borderId="39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vertical="center"/>
    </xf>
    <xf numFmtId="184" fontId="0" fillId="0" borderId="55" xfId="0" applyNumberFormat="1" applyFill="1" applyBorder="1" applyAlignment="1" applyProtection="1">
      <alignment horizontal="center" vertical="center"/>
    </xf>
    <xf numFmtId="180" fontId="0" fillId="0" borderId="47" xfId="0" applyNumberFormat="1" applyFill="1" applyBorder="1" applyAlignment="1" applyProtection="1">
      <alignment horizontal="center" vertical="center"/>
    </xf>
    <xf numFmtId="182" fontId="0" fillId="0" borderId="47" xfId="0" applyNumberFormat="1" applyFill="1" applyBorder="1" applyAlignment="1" applyProtection="1">
      <alignment horizontal="center" vertical="center"/>
    </xf>
    <xf numFmtId="187" fontId="0" fillId="0" borderId="47" xfId="0" applyNumberFormat="1" applyFill="1" applyBorder="1" applyAlignment="1" applyProtection="1">
      <alignment horizontal="center" vertical="center" wrapText="1"/>
    </xf>
    <xf numFmtId="0" fontId="0" fillId="0" borderId="17" xfId="0" applyNumberFormat="1" applyFill="1" applyBorder="1" applyAlignment="1" applyProtection="1">
      <alignment horizontal="center" vertical="center"/>
    </xf>
  </cellXfs>
  <cellStyles count="55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良い" xfId="11" builtinId="26" hidde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DDDDDD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  <color rgb="FFFF0000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0</xdr:colOff>
      <xdr:row>20</xdr:row>
      <xdr:rowOff>0</xdr:rowOff>
    </xdr:from>
    <xdr:to>
      <xdr:col>44</xdr:col>
      <xdr:colOff>0</xdr:colOff>
      <xdr:row>20</xdr:row>
      <xdr:rowOff>0</xdr:rowOff>
    </xdr:to>
    <xdr:sp macro="beforeChangeShapes" textlink="">
      <xdr:nvSpPr>
        <xdr:cNvPr id="198" name="タスク_19"/>
        <xdr:cNvSpPr/>
      </xdr:nvSpPr>
      <xdr:spPr>
        <a:xfrm>
          <a:off x="21355050" y="4711700"/>
          <a:ext cx="476250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20</xdr:row>
      <xdr:rowOff>0</xdr:rowOff>
    </xdr:from>
    <xdr:to>
      <xdr:col>28</xdr:col>
      <xdr:colOff>0</xdr:colOff>
      <xdr:row>20</xdr:row>
      <xdr:rowOff>0</xdr:rowOff>
    </xdr:to>
    <xdr:cxnSp macro="">
      <xdr:nvCxnSpPr>
        <xdr:cNvPr id="199" name="直線コネクタ 198"/>
        <xdr:cNvCxnSpPr/>
      </xdr:nvCxnSpPr>
      <xdr:spPr>
        <a:xfrm>
          <a:off x="18021300" y="46482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20</xdr:row>
      <xdr:rowOff>0</xdr:rowOff>
    </xdr:from>
    <xdr:to>
      <xdr:col>44</xdr:col>
      <xdr:colOff>0</xdr:colOff>
      <xdr:row>20</xdr:row>
      <xdr:rowOff>0</xdr:rowOff>
    </xdr:to>
    <xdr:sp macro="beforeChangeShapes" textlink="">
      <xdr:nvSpPr>
        <xdr:cNvPr id="200" name="タスク_20"/>
        <xdr:cNvSpPr/>
      </xdr:nvSpPr>
      <xdr:spPr>
        <a:xfrm>
          <a:off x="21355050" y="4959350"/>
          <a:ext cx="476250" cy="12700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20</xdr:row>
      <xdr:rowOff>0</xdr:rowOff>
    </xdr:from>
    <xdr:to>
      <xdr:col>28</xdr:col>
      <xdr:colOff>0</xdr:colOff>
      <xdr:row>20</xdr:row>
      <xdr:rowOff>0</xdr:rowOff>
    </xdr:to>
    <xdr:cxnSp macro="">
      <xdr:nvCxnSpPr>
        <xdr:cNvPr id="201" name="直線コネクタ 200"/>
        <xdr:cNvCxnSpPr/>
      </xdr:nvCxnSpPr>
      <xdr:spPr>
        <a:xfrm>
          <a:off x="18021300" y="48958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18</xdr:row>
      <xdr:rowOff>63500</xdr:rowOff>
    </xdr:from>
    <xdr:to>
      <xdr:col>44</xdr:col>
      <xdr:colOff>0</xdr:colOff>
      <xdr:row>18</xdr:row>
      <xdr:rowOff>190500</xdr:rowOff>
    </xdr:to>
    <xdr:sp macro="beforeChangeShapes" textlink="">
      <xdr:nvSpPr>
        <xdr:cNvPr id="228" name="タスク_19"/>
        <xdr:cNvSpPr/>
      </xdr:nvSpPr>
      <xdr:spPr>
        <a:xfrm>
          <a:off x="21355050" y="4711700"/>
          <a:ext cx="476250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18</xdr:row>
      <xdr:rowOff>0</xdr:rowOff>
    </xdr:from>
    <xdr:to>
      <xdr:col>28</xdr:col>
      <xdr:colOff>0</xdr:colOff>
      <xdr:row>19</xdr:row>
      <xdr:rowOff>0</xdr:rowOff>
    </xdr:to>
    <xdr:cxnSp macro="">
      <xdr:nvCxnSpPr>
        <xdr:cNvPr id="229" name="直線コネクタ 228"/>
        <xdr:cNvCxnSpPr/>
      </xdr:nvCxnSpPr>
      <xdr:spPr>
        <a:xfrm>
          <a:off x="18021300" y="46482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19</xdr:row>
      <xdr:rowOff>63500</xdr:rowOff>
    </xdr:from>
    <xdr:to>
      <xdr:col>44</xdr:col>
      <xdr:colOff>0</xdr:colOff>
      <xdr:row>19</xdr:row>
      <xdr:rowOff>190500</xdr:rowOff>
    </xdr:to>
    <xdr:sp macro="beforeChangeShapes" textlink="">
      <xdr:nvSpPr>
        <xdr:cNvPr id="230" name="タスク_20"/>
        <xdr:cNvSpPr/>
      </xdr:nvSpPr>
      <xdr:spPr>
        <a:xfrm>
          <a:off x="21355050" y="4959350"/>
          <a:ext cx="476250" cy="12700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19</xdr:row>
      <xdr:rowOff>0</xdr:rowOff>
    </xdr:from>
    <xdr:to>
      <xdr:col>28</xdr:col>
      <xdr:colOff>0</xdr:colOff>
      <xdr:row>20</xdr:row>
      <xdr:rowOff>0</xdr:rowOff>
    </xdr:to>
    <xdr:cxnSp macro="">
      <xdr:nvCxnSpPr>
        <xdr:cNvPr id="231" name="直線コネクタ 230"/>
        <xdr:cNvCxnSpPr/>
      </xdr:nvCxnSpPr>
      <xdr:spPr>
        <a:xfrm>
          <a:off x="18021300" y="48958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5</xdr:row>
      <xdr:rowOff>0</xdr:rowOff>
    </xdr:from>
    <xdr:to>
      <xdr:col>44</xdr:col>
      <xdr:colOff>0</xdr:colOff>
      <xdr:row>6</xdr:row>
      <xdr:rowOff>0</xdr:rowOff>
    </xdr:to>
    <xdr:sp macro="" textlink="">
      <xdr:nvSpPr>
        <xdr:cNvPr id="284" name="タスク_6"/>
        <xdr:cNvSpPr/>
      </xdr:nvSpPr>
      <xdr:spPr>
        <a:xfrm>
          <a:off x="16354425" y="1428750"/>
          <a:ext cx="547687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制作</a:t>
          </a:r>
        </a:p>
      </xdr:txBody>
    </xdr:sp>
    <xdr:clientData/>
  </xdr:twoCellAnchor>
  <xdr:twoCellAnchor>
    <xdr:from>
      <xdr:col>28</xdr:col>
      <xdr:colOff>0</xdr:colOff>
      <xdr:row>5</xdr:row>
      <xdr:rowOff>0</xdr:rowOff>
    </xdr:from>
    <xdr:to>
      <xdr:col>28</xdr:col>
      <xdr:colOff>0</xdr:colOff>
      <xdr:row>6</xdr:row>
      <xdr:rowOff>0</xdr:rowOff>
    </xdr:to>
    <xdr:cxnSp macro="">
      <xdr:nvCxnSpPr>
        <xdr:cNvPr id="285" name="直線コネクタ 284"/>
        <xdr:cNvCxnSpPr/>
      </xdr:nvCxnSpPr>
      <xdr:spPr>
        <a:xfrm>
          <a:off x="18021300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6</xdr:row>
      <xdr:rowOff>63500</xdr:rowOff>
    </xdr:from>
    <xdr:to>
      <xdr:col>37</xdr:col>
      <xdr:colOff>0</xdr:colOff>
      <xdr:row>6</xdr:row>
      <xdr:rowOff>190500</xdr:rowOff>
    </xdr:to>
    <xdr:sp macro="beforeChangeShapes" textlink="">
      <xdr:nvSpPr>
        <xdr:cNvPr id="286" name="タスク_7"/>
        <xdr:cNvSpPr/>
      </xdr:nvSpPr>
      <xdr:spPr>
        <a:xfrm>
          <a:off x="16354425" y="1739900"/>
          <a:ext cx="38100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28</xdr:col>
      <xdr:colOff>0</xdr:colOff>
      <xdr:row>7</xdr:row>
      <xdr:rowOff>0</xdr:rowOff>
    </xdr:to>
    <xdr:cxnSp macro="">
      <xdr:nvCxnSpPr>
        <xdr:cNvPr id="287" name="直線コネクタ 286"/>
        <xdr:cNvCxnSpPr/>
      </xdr:nvCxnSpPr>
      <xdr:spPr>
        <a:xfrm>
          <a:off x="18021300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7</xdr:row>
      <xdr:rowOff>63500</xdr:rowOff>
    </xdr:from>
    <xdr:to>
      <xdr:col>22</xdr:col>
      <xdr:colOff>0</xdr:colOff>
      <xdr:row>7</xdr:row>
      <xdr:rowOff>190500</xdr:rowOff>
    </xdr:to>
    <xdr:sp macro="beforeChangeShapes" textlink="">
      <xdr:nvSpPr>
        <xdr:cNvPr id="288" name="タスク_8"/>
        <xdr:cNvSpPr/>
      </xdr:nvSpPr>
      <xdr:spPr>
        <a:xfrm>
          <a:off x="16354425" y="1987550"/>
          <a:ext cx="238125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7</xdr:row>
      <xdr:rowOff>0</xdr:rowOff>
    </xdr:from>
    <xdr:to>
      <xdr:col>28</xdr:col>
      <xdr:colOff>0</xdr:colOff>
      <xdr:row>8</xdr:row>
      <xdr:rowOff>0</xdr:rowOff>
    </xdr:to>
    <xdr:cxnSp macro="">
      <xdr:nvCxnSpPr>
        <xdr:cNvPr id="289" name="直線コネクタ 288"/>
        <xdr:cNvCxnSpPr/>
      </xdr:nvCxnSpPr>
      <xdr:spPr>
        <a:xfrm>
          <a:off x="18021300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8</xdr:row>
      <xdr:rowOff>63500</xdr:rowOff>
    </xdr:from>
    <xdr:to>
      <xdr:col>27</xdr:col>
      <xdr:colOff>0</xdr:colOff>
      <xdr:row>8</xdr:row>
      <xdr:rowOff>190500</xdr:rowOff>
    </xdr:to>
    <xdr:sp macro="beforeChangeShapes" textlink="">
      <xdr:nvSpPr>
        <xdr:cNvPr id="290" name="タスク_9"/>
        <xdr:cNvSpPr/>
      </xdr:nvSpPr>
      <xdr:spPr>
        <a:xfrm>
          <a:off x="16830675" y="2235200"/>
          <a:ext cx="952500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8</xdr:row>
      <xdr:rowOff>0</xdr:rowOff>
    </xdr:from>
    <xdr:to>
      <xdr:col>28</xdr:col>
      <xdr:colOff>0</xdr:colOff>
      <xdr:row>9</xdr:row>
      <xdr:rowOff>0</xdr:rowOff>
    </xdr:to>
    <xdr:cxnSp macro="">
      <xdr:nvCxnSpPr>
        <xdr:cNvPr id="291" name="直線コネクタ 290"/>
        <xdr:cNvCxnSpPr/>
      </xdr:nvCxnSpPr>
      <xdr:spPr>
        <a:xfrm>
          <a:off x="18021300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9</xdr:row>
      <xdr:rowOff>63500</xdr:rowOff>
    </xdr:from>
    <xdr:to>
      <xdr:col>29</xdr:col>
      <xdr:colOff>0</xdr:colOff>
      <xdr:row>9</xdr:row>
      <xdr:rowOff>190500</xdr:rowOff>
    </xdr:to>
    <xdr:sp macro="beforeChangeShapes" textlink="">
      <xdr:nvSpPr>
        <xdr:cNvPr id="292" name="タスク_10"/>
        <xdr:cNvSpPr/>
      </xdr:nvSpPr>
      <xdr:spPr>
        <a:xfrm>
          <a:off x="17545050" y="2482850"/>
          <a:ext cx="714375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</xdr:row>
      <xdr:rowOff>0</xdr:rowOff>
    </xdr:from>
    <xdr:to>
      <xdr:col>28</xdr:col>
      <xdr:colOff>0</xdr:colOff>
      <xdr:row>10</xdr:row>
      <xdr:rowOff>0</xdr:rowOff>
    </xdr:to>
    <xdr:cxnSp macro="">
      <xdr:nvCxnSpPr>
        <xdr:cNvPr id="293" name="直線コネクタ 292"/>
        <xdr:cNvCxnSpPr/>
      </xdr:nvCxnSpPr>
      <xdr:spPr>
        <a:xfrm>
          <a:off x="18021300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10</xdr:row>
      <xdr:rowOff>0</xdr:rowOff>
    </xdr:from>
    <xdr:to>
      <xdr:col>44</xdr:col>
      <xdr:colOff>0</xdr:colOff>
      <xdr:row>11</xdr:row>
      <xdr:rowOff>0</xdr:rowOff>
    </xdr:to>
    <xdr:sp macro="" textlink="">
      <xdr:nvSpPr>
        <xdr:cNvPr id="294" name="タスク_11"/>
        <xdr:cNvSpPr/>
      </xdr:nvSpPr>
      <xdr:spPr>
        <a:xfrm>
          <a:off x="19926300" y="2667000"/>
          <a:ext cx="190500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デザイン制作</a:t>
          </a:r>
        </a:p>
      </xdr:txBody>
    </xdr:sp>
    <xdr:clientData/>
  </xdr:twoCellAnchor>
  <xdr:twoCellAnchor>
    <xdr:from>
      <xdr:col>28</xdr:col>
      <xdr:colOff>0</xdr:colOff>
      <xdr:row>10</xdr:row>
      <xdr:rowOff>0</xdr:rowOff>
    </xdr:from>
    <xdr:to>
      <xdr:col>28</xdr:col>
      <xdr:colOff>0</xdr:colOff>
      <xdr:row>11</xdr:row>
      <xdr:rowOff>0</xdr:rowOff>
    </xdr:to>
    <xdr:cxnSp macro="">
      <xdr:nvCxnSpPr>
        <xdr:cNvPr id="295" name="直線コネクタ 294"/>
        <xdr:cNvCxnSpPr/>
      </xdr:nvCxnSpPr>
      <xdr:spPr>
        <a:xfrm>
          <a:off x="18021300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11</xdr:row>
      <xdr:rowOff>0</xdr:rowOff>
    </xdr:from>
    <xdr:to>
      <xdr:col>38</xdr:col>
      <xdr:colOff>0</xdr:colOff>
      <xdr:row>12</xdr:row>
      <xdr:rowOff>0</xdr:rowOff>
    </xdr:to>
    <xdr:sp macro="" textlink="">
      <xdr:nvSpPr>
        <xdr:cNvPr id="296" name="タスク_12"/>
        <xdr:cNvSpPr/>
      </xdr:nvSpPr>
      <xdr:spPr>
        <a:xfrm>
          <a:off x="19926300" y="2914650"/>
          <a:ext cx="47625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作成</a:t>
          </a:r>
        </a:p>
      </xdr:txBody>
    </xdr:sp>
    <xdr:clientData/>
  </xdr:twoCellAnchor>
  <xdr:twoCellAnchor>
    <xdr:from>
      <xdr:col>28</xdr:col>
      <xdr:colOff>0</xdr:colOff>
      <xdr:row>11</xdr:row>
      <xdr:rowOff>0</xdr:rowOff>
    </xdr:from>
    <xdr:to>
      <xdr:col>28</xdr:col>
      <xdr:colOff>0</xdr:colOff>
      <xdr:row>12</xdr:row>
      <xdr:rowOff>0</xdr:rowOff>
    </xdr:to>
    <xdr:cxnSp macro="">
      <xdr:nvCxnSpPr>
        <xdr:cNvPr id="297" name="直線コネクタ 296"/>
        <xdr:cNvCxnSpPr/>
      </xdr:nvCxnSpPr>
      <xdr:spPr>
        <a:xfrm>
          <a:off x="18021300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12</xdr:row>
      <xdr:rowOff>63500</xdr:rowOff>
    </xdr:from>
    <xdr:to>
      <xdr:col>38</xdr:col>
      <xdr:colOff>0</xdr:colOff>
      <xdr:row>12</xdr:row>
      <xdr:rowOff>190500</xdr:rowOff>
    </xdr:to>
    <xdr:sp macro="beforeChangeShapes" textlink="">
      <xdr:nvSpPr>
        <xdr:cNvPr id="298" name="タスク_13"/>
        <xdr:cNvSpPr/>
      </xdr:nvSpPr>
      <xdr:spPr>
        <a:xfrm>
          <a:off x="19926300" y="32258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12</xdr:row>
      <xdr:rowOff>0</xdr:rowOff>
    </xdr:from>
    <xdr:to>
      <xdr:col>28</xdr:col>
      <xdr:colOff>0</xdr:colOff>
      <xdr:row>13</xdr:row>
      <xdr:rowOff>0</xdr:rowOff>
    </xdr:to>
    <xdr:cxnSp macro="">
      <xdr:nvCxnSpPr>
        <xdr:cNvPr id="299" name="直線コネクタ 298"/>
        <xdr:cNvCxnSpPr/>
      </xdr:nvCxnSpPr>
      <xdr:spPr>
        <a:xfrm>
          <a:off x="18021300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13</xdr:row>
      <xdr:rowOff>63500</xdr:rowOff>
    </xdr:from>
    <xdr:to>
      <xdr:col>37</xdr:col>
      <xdr:colOff>0</xdr:colOff>
      <xdr:row>13</xdr:row>
      <xdr:rowOff>190500</xdr:rowOff>
    </xdr:to>
    <xdr:sp macro="beforeChangeShapes" textlink="">
      <xdr:nvSpPr>
        <xdr:cNvPr id="300" name="タスク_14"/>
        <xdr:cNvSpPr/>
      </xdr:nvSpPr>
      <xdr:spPr>
        <a:xfrm>
          <a:off x="19926300" y="3473450"/>
          <a:ext cx="238125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13</xdr:row>
      <xdr:rowOff>0</xdr:rowOff>
    </xdr:from>
    <xdr:to>
      <xdr:col>28</xdr:col>
      <xdr:colOff>0</xdr:colOff>
      <xdr:row>14</xdr:row>
      <xdr:rowOff>0</xdr:rowOff>
    </xdr:to>
    <xdr:cxnSp macro="">
      <xdr:nvCxnSpPr>
        <xdr:cNvPr id="301" name="直線コネクタ 300"/>
        <xdr:cNvCxnSpPr/>
      </xdr:nvCxnSpPr>
      <xdr:spPr>
        <a:xfrm>
          <a:off x="18021300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14</xdr:row>
      <xdr:rowOff>63500</xdr:rowOff>
    </xdr:from>
    <xdr:to>
      <xdr:col>38</xdr:col>
      <xdr:colOff>0</xdr:colOff>
      <xdr:row>14</xdr:row>
      <xdr:rowOff>190500</xdr:rowOff>
    </xdr:to>
    <xdr:sp macro="beforeChangeShapes" textlink="">
      <xdr:nvSpPr>
        <xdr:cNvPr id="302" name="タスク_15"/>
        <xdr:cNvSpPr/>
      </xdr:nvSpPr>
      <xdr:spPr>
        <a:xfrm>
          <a:off x="19926300" y="3721100"/>
          <a:ext cx="476250" cy="12700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14</xdr:row>
      <xdr:rowOff>0</xdr:rowOff>
    </xdr:from>
    <xdr:to>
      <xdr:col>28</xdr:col>
      <xdr:colOff>0</xdr:colOff>
      <xdr:row>15</xdr:row>
      <xdr:rowOff>0</xdr:rowOff>
    </xdr:to>
    <xdr:cxnSp macro="">
      <xdr:nvCxnSpPr>
        <xdr:cNvPr id="303" name="直線コネクタ 302"/>
        <xdr:cNvCxnSpPr/>
      </xdr:nvCxnSpPr>
      <xdr:spPr>
        <a:xfrm>
          <a:off x="18021300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15</xdr:row>
      <xdr:rowOff>63500</xdr:rowOff>
    </xdr:from>
    <xdr:to>
      <xdr:col>38</xdr:col>
      <xdr:colOff>0</xdr:colOff>
      <xdr:row>15</xdr:row>
      <xdr:rowOff>190500</xdr:rowOff>
    </xdr:to>
    <xdr:sp macro="beforeChangeShapes" textlink="">
      <xdr:nvSpPr>
        <xdr:cNvPr id="304" name="タスク_16"/>
        <xdr:cNvSpPr/>
      </xdr:nvSpPr>
      <xdr:spPr>
        <a:xfrm>
          <a:off x="19926300" y="3968750"/>
          <a:ext cx="476250" cy="127000"/>
        </a:xfrm>
        <a:prstGeom prst="rect">
          <a:avLst/>
        </a:prstGeom>
        <a:solidFill>
          <a:srgbClr val="44546A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15</xdr:row>
      <xdr:rowOff>0</xdr:rowOff>
    </xdr:from>
    <xdr:to>
      <xdr:col>28</xdr:col>
      <xdr:colOff>0</xdr:colOff>
      <xdr:row>16</xdr:row>
      <xdr:rowOff>0</xdr:rowOff>
    </xdr:to>
    <xdr:cxnSp macro="">
      <xdr:nvCxnSpPr>
        <xdr:cNvPr id="305" name="直線コネクタ 304"/>
        <xdr:cNvCxnSpPr/>
      </xdr:nvCxnSpPr>
      <xdr:spPr>
        <a:xfrm>
          <a:off x="18021300" y="39052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16</xdr:row>
      <xdr:rowOff>0</xdr:rowOff>
    </xdr:from>
    <xdr:to>
      <xdr:col>44</xdr:col>
      <xdr:colOff>0</xdr:colOff>
      <xdr:row>17</xdr:row>
      <xdr:rowOff>0</xdr:rowOff>
    </xdr:to>
    <xdr:sp macro="" textlink="">
      <xdr:nvSpPr>
        <xdr:cNvPr id="306" name="タスク_17"/>
        <xdr:cNvSpPr/>
      </xdr:nvSpPr>
      <xdr:spPr>
        <a:xfrm>
          <a:off x="21355050" y="4152900"/>
          <a:ext cx="47625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修正</a:t>
          </a:r>
        </a:p>
      </xdr:txBody>
    </xdr:sp>
    <xdr:clientData/>
  </xdr:twoCellAnchor>
  <xdr:twoCellAnchor>
    <xdr:from>
      <xdr:col>28</xdr:col>
      <xdr:colOff>0</xdr:colOff>
      <xdr:row>16</xdr:row>
      <xdr:rowOff>0</xdr:rowOff>
    </xdr:from>
    <xdr:to>
      <xdr:col>28</xdr:col>
      <xdr:colOff>0</xdr:colOff>
      <xdr:row>17</xdr:row>
      <xdr:rowOff>0</xdr:rowOff>
    </xdr:to>
    <xdr:cxnSp macro="">
      <xdr:nvCxnSpPr>
        <xdr:cNvPr id="307" name="直線コネクタ 306"/>
        <xdr:cNvCxnSpPr/>
      </xdr:nvCxnSpPr>
      <xdr:spPr>
        <a:xfrm>
          <a:off x="18021300" y="41529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17</xdr:row>
      <xdr:rowOff>63500</xdr:rowOff>
    </xdr:from>
    <xdr:to>
      <xdr:col>44</xdr:col>
      <xdr:colOff>0</xdr:colOff>
      <xdr:row>17</xdr:row>
      <xdr:rowOff>190500</xdr:rowOff>
    </xdr:to>
    <xdr:sp macro="beforeChangeShapes" textlink="">
      <xdr:nvSpPr>
        <xdr:cNvPr id="308" name="タスク_18"/>
        <xdr:cNvSpPr/>
      </xdr:nvSpPr>
      <xdr:spPr>
        <a:xfrm>
          <a:off x="21355050" y="446405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17</xdr:row>
      <xdr:rowOff>0</xdr:rowOff>
    </xdr:from>
    <xdr:to>
      <xdr:col>28</xdr:col>
      <xdr:colOff>0</xdr:colOff>
      <xdr:row>18</xdr:row>
      <xdr:rowOff>0</xdr:rowOff>
    </xdr:to>
    <xdr:cxnSp macro="">
      <xdr:nvCxnSpPr>
        <xdr:cNvPr id="309" name="直線コネクタ 308"/>
        <xdr:cNvCxnSpPr/>
      </xdr:nvCxnSpPr>
      <xdr:spPr>
        <a:xfrm>
          <a:off x="18021300" y="44005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63500</xdr:rowOff>
    </xdr:from>
    <xdr:to>
      <xdr:col>22</xdr:col>
      <xdr:colOff>0</xdr:colOff>
      <xdr:row>5</xdr:row>
      <xdr:rowOff>190500</xdr:rowOff>
    </xdr:to>
    <xdr:sp macro="beforeChangeShapes" textlink="">
      <xdr:nvSpPr>
        <xdr:cNvPr id="701" name="タスク_6"/>
        <xdr:cNvSpPr/>
      </xdr:nvSpPr>
      <xdr:spPr>
        <a:xfrm>
          <a:off x="16354425" y="1492250"/>
          <a:ext cx="2381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</xdr:row>
      <xdr:rowOff>0</xdr:rowOff>
    </xdr:from>
    <xdr:to>
      <xdr:col>28</xdr:col>
      <xdr:colOff>0</xdr:colOff>
      <xdr:row>6</xdr:row>
      <xdr:rowOff>0</xdr:rowOff>
    </xdr:to>
    <xdr:cxnSp macro="">
      <xdr:nvCxnSpPr>
        <xdr:cNvPr id="702" name="直線コネクタ 701"/>
        <xdr:cNvCxnSpPr/>
      </xdr:nvCxnSpPr>
      <xdr:spPr>
        <a:xfrm>
          <a:off x="18021300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6</xdr:row>
      <xdr:rowOff>63500</xdr:rowOff>
    </xdr:from>
    <xdr:to>
      <xdr:col>37</xdr:col>
      <xdr:colOff>0</xdr:colOff>
      <xdr:row>6</xdr:row>
      <xdr:rowOff>190500</xdr:rowOff>
    </xdr:to>
    <xdr:sp macro="beforeChangeShapes" textlink="">
      <xdr:nvSpPr>
        <xdr:cNvPr id="703" name="タスク_7"/>
        <xdr:cNvSpPr/>
      </xdr:nvSpPr>
      <xdr:spPr>
        <a:xfrm>
          <a:off x="19926300" y="1739900"/>
          <a:ext cx="2381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28</xdr:col>
      <xdr:colOff>0</xdr:colOff>
      <xdr:row>7</xdr:row>
      <xdr:rowOff>0</xdr:rowOff>
    </xdr:to>
    <xdr:cxnSp macro="">
      <xdr:nvCxnSpPr>
        <xdr:cNvPr id="704" name="直線コネクタ 703"/>
        <xdr:cNvCxnSpPr/>
      </xdr:nvCxnSpPr>
      <xdr:spPr>
        <a:xfrm>
          <a:off x="18021300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7</xdr:row>
      <xdr:rowOff>63500</xdr:rowOff>
    </xdr:from>
    <xdr:to>
      <xdr:col>27</xdr:col>
      <xdr:colOff>0</xdr:colOff>
      <xdr:row>7</xdr:row>
      <xdr:rowOff>190500</xdr:rowOff>
    </xdr:to>
    <xdr:sp macro="beforeChangeShapes" textlink="">
      <xdr:nvSpPr>
        <xdr:cNvPr id="705" name="タスク_8"/>
        <xdr:cNvSpPr/>
      </xdr:nvSpPr>
      <xdr:spPr>
        <a:xfrm>
          <a:off x="16830675" y="198755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7</xdr:row>
      <xdr:rowOff>0</xdr:rowOff>
    </xdr:from>
    <xdr:to>
      <xdr:col>28</xdr:col>
      <xdr:colOff>0</xdr:colOff>
      <xdr:row>8</xdr:row>
      <xdr:rowOff>0</xdr:rowOff>
    </xdr:to>
    <xdr:cxnSp macro="">
      <xdr:nvCxnSpPr>
        <xdr:cNvPr id="706" name="直線コネクタ 705"/>
        <xdr:cNvCxnSpPr/>
      </xdr:nvCxnSpPr>
      <xdr:spPr>
        <a:xfrm>
          <a:off x="18021300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8</xdr:row>
      <xdr:rowOff>63500</xdr:rowOff>
    </xdr:from>
    <xdr:to>
      <xdr:col>29</xdr:col>
      <xdr:colOff>0</xdr:colOff>
      <xdr:row>8</xdr:row>
      <xdr:rowOff>190500</xdr:rowOff>
    </xdr:to>
    <xdr:sp macro="beforeChangeShapes" textlink="">
      <xdr:nvSpPr>
        <xdr:cNvPr id="707" name="タスク_9"/>
        <xdr:cNvSpPr/>
      </xdr:nvSpPr>
      <xdr:spPr>
        <a:xfrm>
          <a:off x="17545050" y="223520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8</xdr:row>
      <xdr:rowOff>0</xdr:rowOff>
    </xdr:from>
    <xdr:to>
      <xdr:col>28</xdr:col>
      <xdr:colOff>0</xdr:colOff>
      <xdr:row>9</xdr:row>
      <xdr:rowOff>0</xdr:rowOff>
    </xdr:to>
    <xdr:cxnSp macro="">
      <xdr:nvCxnSpPr>
        <xdr:cNvPr id="708" name="直線コネクタ 707"/>
        <xdr:cNvCxnSpPr/>
      </xdr:nvCxnSpPr>
      <xdr:spPr>
        <a:xfrm>
          <a:off x="18021300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9</xdr:row>
      <xdr:rowOff>63500</xdr:rowOff>
    </xdr:from>
    <xdr:to>
      <xdr:col>38</xdr:col>
      <xdr:colOff>0</xdr:colOff>
      <xdr:row>9</xdr:row>
      <xdr:rowOff>190500</xdr:rowOff>
    </xdr:to>
    <xdr:sp macro="beforeChangeShapes" textlink="">
      <xdr:nvSpPr>
        <xdr:cNvPr id="709" name="タスク_10"/>
        <xdr:cNvSpPr/>
      </xdr:nvSpPr>
      <xdr:spPr>
        <a:xfrm>
          <a:off x="19926300" y="248285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</xdr:row>
      <xdr:rowOff>0</xdr:rowOff>
    </xdr:from>
    <xdr:to>
      <xdr:col>28</xdr:col>
      <xdr:colOff>0</xdr:colOff>
      <xdr:row>10</xdr:row>
      <xdr:rowOff>0</xdr:rowOff>
    </xdr:to>
    <xdr:cxnSp macro="">
      <xdr:nvCxnSpPr>
        <xdr:cNvPr id="710" name="直線コネクタ 709"/>
        <xdr:cNvCxnSpPr/>
      </xdr:nvCxnSpPr>
      <xdr:spPr>
        <a:xfrm>
          <a:off x="18021300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10</xdr:row>
      <xdr:rowOff>63500</xdr:rowOff>
    </xdr:from>
    <xdr:to>
      <xdr:col>38</xdr:col>
      <xdr:colOff>0</xdr:colOff>
      <xdr:row>10</xdr:row>
      <xdr:rowOff>190500</xdr:rowOff>
    </xdr:to>
    <xdr:sp macro="beforeChangeShapes" textlink="">
      <xdr:nvSpPr>
        <xdr:cNvPr id="711" name="タスク_11"/>
        <xdr:cNvSpPr/>
      </xdr:nvSpPr>
      <xdr:spPr>
        <a:xfrm>
          <a:off x="19926300" y="27305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10</xdr:row>
      <xdr:rowOff>0</xdr:rowOff>
    </xdr:from>
    <xdr:to>
      <xdr:col>28</xdr:col>
      <xdr:colOff>0</xdr:colOff>
      <xdr:row>11</xdr:row>
      <xdr:rowOff>0</xdr:rowOff>
    </xdr:to>
    <xdr:cxnSp macro="">
      <xdr:nvCxnSpPr>
        <xdr:cNvPr id="712" name="直線コネクタ 711"/>
        <xdr:cNvCxnSpPr/>
      </xdr:nvCxnSpPr>
      <xdr:spPr>
        <a:xfrm>
          <a:off x="18021300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O58"/>
  <sheetViews>
    <sheetView showGridLines="0" topLeftCell="A31" zoomScale="85" zoomScaleNormal="85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198" t="s">
        <v>103</v>
      </c>
      <c r="C2" s="198"/>
      <c r="D2" s="198"/>
      <c r="E2" s="198"/>
      <c r="F2" s="198"/>
      <c r="G2" s="198"/>
      <c r="H2" s="198"/>
      <c r="I2" s="198"/>
      <c r="J2" s="198"/>
      <c r="K2" s="198"/>
      <c r="L2" s="198"/>
    </row>
    <row r="3" spans="2:12" ht="19.5" customHeight="1">
      <c r="B3" s="199" t="s">
        <v>104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</row>
    <row r="4" spans="2:12" ht="19.5" customHeight="1">
      <c r="B4" s="199" t="s">
        <v>105</v>
      </c>
      <c r="C4" s="199"/>
      <c r="D4" s="199"/>
      <c r="E4" s="199"/>
      <c r="F4" s="199"/>
      <c r="G4" s="199"/>
      <c r="H4" s="199"/>
      <c r="I4" s="199"/>
      <c r="J4" s="199"/>
      <c r="K4" s="199"/>
      <c r="L4" s="199"/>
    </row>
    <row r="5" spans="2:12" ht="19.5" customHeight="1">
      <c r="B5" s="200"/>
      <c r="C5" s="200"/>
      <c r="D5" s="200"/>
      <c r="E5" s="200"/>
      <c r="F5" s="200"/>
      <c r="G5" s="200"/>
      <c r="H5" s="200"/>
      <c r="I5" s="200"/>
      <c r="J5" s="200"/>
      <c r="K5" s="200"/>
      <c r="L5" s="200"/>
    </row>
    <row r="6" spans="2:12" ht="19.5" customHeight="1">
      <c r="B6" s="197"/>
      <c r="C6" s="197"/>
      <c r="D6" s="197"/>
      <c r="E6" s="197"/>
      <c r="F6" s="197"/>
      <c r="G6" s="197"/>
      <c r="H6" s="197"/>
      <c r="I6" s="197"/>
      <c r="J6" s="197"/>
      <c r="K6" s="197"/>
      <c r="L6" s="197"/>
    </row>
    <row r="7" spans="2:12" ht="19.5" customHeight="1">
      <c r="B7" s="197"/>
      <c r="C7" s="197"/>
      <c r="D7" s="197"/>
      <c r="E7" s="197"/>
      <c r="F7" s="197"/>
      <c r="G7" s="197"/>
      <c r="H7" s="197"/>
      <c r="I7" s="197"/>
      <c r="J7" s="197"/>
      <c r="K7" s="197"/>
      <c r="L7" s="197"/>
    </row>
    <row r="8" spans="2:12" ht="19.5" customHeight="1">
      <c r="B8" s="197"/>
      <c r="C8" s="197"/>
      <c r="D8" s="197"/>
      <c r="E8" s="197"/>
      <c r="F8" s="197"/>
      <c r="G8" s="197"/>
      <c r="H8" s="197"/>
      <c r="I8" s="197"/>
      <c r="J8" s="197"/>
      <c r="K8" s="197"/>
      <c r="L8" s="197"/>
    </row>
    <row r="9" spans="2:12" ht="19.5" customHeight="1">
      <c r="B9" s="197"/>
      <c r="C9" s="197"/>
      <c r="D9" s="197"/>
      <c r="E9" s="197"/>
      <c r="F9" s="197"/>
      <c r="G9" s="197"/>
      <c r="H9" s="197"/>
      <c r="I9" s="197"/>
      <c r="J9" s="197"/>
      <c r="K9" s="197"/>
      <c r="L9" s="197"/>
    </row>
    <row r="10" spans="2:12" ht="19.5" customHeight="1">
      <c r="B10" s="197"/>
      <c r="C10" s="197"/>
      <c r="D10" s="197"/>
      <c r="E10" s="197"/>
      <c r="F10" s="197"/>
      <c r="G10" s="197"/>
      <c r="H10" s="197"/>
      <c r="I10" s="197"/>
      <c r="J10" s="197"/>
      <c r="K10" s="197"/>
      <c r="L10" s="197"/>
    </row>
    <row r="11" spans="2:12" ht="19.5" customHeight="1"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</row>
    <row r="12" spans="2:12" ht="19.5" customHeight="1">
      <c r="B12" s="197"/>
      <c r="C12" s="197"/>
      <c r="D12" s="197"/>
      <c r="E12" s="197"/>
      <c r="F12" s="197"/>
      <c r="G12" s="197"/>
      <c r="H12" s="197"/>
      <c r="I12" s="197"/>
      <c r="J12" s="197"/>
      <c r="K12" s="197"/>
      <c r="L12" s="197"/>
    </row>
    <row r="31" spans="1:41" ht="19.5" customHeight="1">
      <c r="A31" s="7" t="s">
        <v>22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</row>
    <row r="32" spans="1:41" ht="19.5" customHeight="1" thickBot="1">
      <c r="A32" s="9" t="s">
        <v>21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2:2" ht="19.5" customHeight="1" thickTop="1">
      <c r="B33" s="6" t="s">
        <v>23</v>
      </c>
    </row>
    <row r="49" spans="1:41" ht="19.5" customHeight="1" thickBot="1">
      <c r="A49" s="48" t="s">
        <v>95</v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9.5" customHeight="1" thickTop="1">
      <c r="B50" s="49" t="s">
        <v>96</v>
      </c>
    </row>
    <row r="52" spans="1:41" ht="19.5" customHeight="1">
      <c r="B52" s="50" t="s">
        <v>99</v>
      </c>
      <c r="C52" s="50"/>
      <c r="D52" s="50"/>
      <c r="E52" s="50"/>
      <c r="F52" s="50"/>
      <c r="G52" s="50"/>
      <c r="H52" s="50"/>
      <c r="I52" s="58" t="s">
        <v>100</v>
      </c>
      <c r="J52" s="59"/>
      <c r="K52" s="59"/>
      <c r="L52" s="59"/>
      <c r="M52" s="59"/>
      <c r="N52" s="60"/>
      <c r="O52" s="57"/>
      <c r="P52" s="57"/>
      <c r="Q52" s="57"/>
      <c r="R52" s="57"/>
      <c r="S52" s="57"/>
      <c r="T52" s="57"/>
      <c r="U52" s="57"/>
      <c r="V52" s="57"/>
    </row>
    <row r="53" spans="1:41" ht="19.5" customHeight="1">
      <c r="B53" s="51" t="s">
        <v>98</v>
      </c>
      <c r="C53" s="52"/>
      <c r="D53" s="52"/>
      <c r="E53" s="52"/>
      <c r="F53" s="52"/>
      <c r="G53" s="52"/>
      <c r="H53" s="52"/>
      <c r="I53" s="51" t="s">
        <v>102</v>
      </c>
      <c r="J53" s="52"/>
      <c r="K53" s="52"/>
      <c r="L53" s="52"/>
      <c r="M53" s="52"/>
      <c r="N53" s="53"/>
      <c r="O53" s="52" t="s">
        <v>106</v>
      </c>
      <c r="P53" s="52"/>
      <c r="Q53" s="52"/>
      <c r="R53" s="52"/>
      <c r="S53" s="52"/>
      <c r="T53" s="52"/>
      <c r="U53" s="52"/>
      <c r="V53" s="52"/>
    </row>
    <row r="54" spans="1:41" ht="19.5" customHeight="1">
      <c r="B54" s="51" t="s">
        <v>97</v>
      </c>
      <c r="C54" s="52"/>
      <c r="D54" s="52"/>
      <c r="E54" s="52"/>
      <c r="F54" s="52"/>
      <c r="G54" s="52"/>
      <c r="H54" s="52"/>
      <c r="I54" s="51" t="s">
        <v>101</v>
      </c>
      <c r="J54" s="52"/>
      <c r="K54" s="52"/>
      <c r="L54" s="52"/>
      <c r="M54" s="52"/>
      <c r="N54" s="53"/>
      <c r="O54" s="52" t="s">
        <v>106</v>
      </c>
      <c r="P54" s="52"/>
      <c r="Q54" s="52"/>
      <c r="R54" s="52"/>
      <c r="S54" s="52"/>
      <c r="T54" s="52"/>
      <c r="U54" s="52"/>
      <c r="V54" s="52"/>
    </row>
    <row r="55" spans="1:41" ht="19.5" customHeight="1">
      <c r="B55" s="54"/>
      <c r="C55" s="55"/>
      <c r="D55" s="55"/>
      <c r="E55" s="55"/>
      <c r="F55" s="55"/>
      <c r="G55" s="55"/>
      <c r="H55" s="55"/>
      <c r="I55" s="54"/>
      <c r="J55" s="55"/>
      <c r="K55" s="55"/>
      <c r="L55" s="55"/>
      <c r="M55" s="55"/>
      <c r="N55" s="56"/>
      <c r="O55" s="55"/>
      <c r="P55" s="55"/>
      <c r="Q55" s="55"/>
      <c r="R55" s="55"/>
      <c r="S55" s="55"/>
      <c r="T55" s="55"/>
      <c r="U55" s="55"/>
      <c r="V55" s="55"/>
    </row>
    <row r="56" spans="1:41" ht="19.5" customHeight="1">
      <c r="B56" s="54"/>
      <c r="C56" s="55"/>
      <c r="D56" s="55"/>
      <c r="E56" s="55"/>
      <c r="F56" s="55"/>
      <c r="G56" s="55"/>
      <c r="H56" s="55"/>
      <c r="I56" s="54"/>
      <c r="J56" s="55"/>
      <c r="K56" s="55"/>
      <c r="L56" s="55"/>
      <c r="M56" s="55"/>
      <c r="N56" s="56"/>
      <c r="O56" s="55"/>
      <c r="P56" s="55"/>
      <c r="Q56" s="55"/>
      <c r="R56" s="55"/>
      <c r="S56" s="55"/>
      <c r="T56" s="55"/>
      <c r="U56" s="55"/>
      <c r="V56" s="55"/>
    </row>
    <row r="57" spans="1:41" ht="19.5" customHeight="1">
      <c r="B57" s="54"/>
      <c r="C57" s="55"/>
      <c r="D57" s="55"/>
      <c r="E57" s="55"/>
      <c r="F57" s="55"/>
      <c r="G57" s="55"/>
      <c r="H57" s="55"/>
      <c r="I57" s="54"/>
      <c r="J57" s="55"/>
      <c r="K57" s="55"/>
      <c r="L57" s="55"/>
      <c r="M57" s="55"/>
      <c r="N57" s="56"/>
      <c r="O57" s="55"/>
      <c r="P57" s="55"/>
      <c r="Q57" s="55"/>
      <c r="R57" s="55"/>
      <c r="S57" s="55"/>
      <c r="T57" s="55"/>
      <c r="U57" s="55"/>
      <c r="V57" s="55"/>
    </row>
    <row r="58" spans="1:41" ht="19.5" customHeight="1">
      <c r="B58" s="54"/>
      <c r="C58" s="55"/>
      <c r="D58" s="55"/>
      <c r="E58" s="55"/>
      <c r="F58" s="55"/>
      <c r="G58" s="55"/>
      <c r="H58" s="55"/>
      <c r="I58" s="54"/>
      <c r="J58" s="55"/>
      <c r="K58" s="55"/>
      <c r="L58" s="55"/>
      <c r="M58" s="55"/>
      <c r="N58" s="56"/>
      <c r="O58" s="55"/>
      <c r="P58" s="55"/>
      <c r="Q58" s="55"/>
      <c r="R58" s="55"/>
      <c r="S58" s="55"/>
      <c r="T58" s="55"/>
      <c r="U58" s="55"/>
      <c r="V58" s="55"/>
    </row>
  </sheetData>
  <mergeCells count="11">
    <mergeCell ref="B8:L8"/>
    <mergeCell ref="B9:L9"/>
    <mergeCell ref="B10:L10"/>
    <mergeCell ref="B11:L11"/>
    <mergeCell ref="B12:L12"/>
    <mergeCell ref="B7:L7"/>
    <mergeCell ref="B2:L2"/>
    <mergeCell ref="B3:L3"/>
    <mergeCell ref="B4:L4"/>
    <mergeCell ref="B5:L5"/>
    <mergeCell ref="B6:L6"/>
  </mergeCells>
  <phoneticPr fontId="22"/>
  <hyperlinks>
    <hyperlink ref="B2:L2" location="#A31" display="#A31"/>
    <hyperlink ref="B3:L3" location="#A32" display="#A32"/>
    <hyperlink ref="B4:L4" location="#A49" display="#A49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5"/>
    </sheetView>
  </sheetViews>
  <sheetFormatPr defaultRowHeight="16.5"/>
  <sheetData/>
  <sortState ref="A1:A15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B7" sqref="B7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12</v>
      </c>
      <c r="B1" s="3" t="s">
        <v>13</v>
      </c>
    </row>
    <row r="2" spans="1:2" ht="15" customHeight="1">
      <c r="A2" s="5">
        <v>1</v>
      </c>
      <c r="B2" s="5" t="s">
        <v>14</v>
      </c>
    </row>
    <row r="3" spans="1:2" ht="15" customHeight="1">
      <c r="A3" s="5">
        <v>2</v>
      </c>
      <c r="B3" s="5" t="s">
        <v>15</v>
      </c>
    </row>
    <row r="4" spans="1:2" ht="15" customHeight="1">
      <c r="A4" s="5">
        <v>3</v>
      </c>
      <c r="B4" s="5" t="s">
        <v>16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18</v>
      </c>
    </row>
    <row r="8" spans="1:2" ht="15" customHeight="1">
      <c r="A8" s="5">
        <v>200</v>
      </c>
      <c r="B8" s="5" t="s">
        <v>17</v>
      </c>
    </row>
    <row r="10" spans="1:2" ht="15" customHeight="1">
      <c r="A10" s="5">
        <v>50</v>
      </c>
      <c r="B10" s="5" t="s">
        <v>26</v>
      </c>
    </row>
    <row r="11" spans="1:2" ht="15" customHeight="1">
      <c r="A11" s="5">
        <v>400</v>
      </c>
      <c r="B11" s="35" t="s">
        <v>58</v>
      </c>
    </row>
    <row r="12" spans="1:2" ht="15" customHeight="1">
      <c r="A12" s="5">
        <v>401</v>
      </c>
      <c r="B12" s="35" t="s">
        <v>57</v>
      </c>
    </row>
    <row r="13" spans="1:2" ht="15" customHeight="1">
      <c r="A13" s="5">
        <v>402</v>
      </c>
      <c r="B13" s="5" t="s">
        <v>59</v>
      </c>
    </row>
    <row r="14" spans="1:2" ht="15" customHeight="1">
      <c r="A14" s="5">
        <v>403</v>
      </c>
      <c r="B14" s="5" t="s">
        <v>60</v>
      </c>
    </row>
    <row r="15" spans="1:2" ht="15" customHeight="1">
      <c r="A15" s="5">
        <v>404</v>
      </c>
      <c r="B15" s="5" t="s">
        <v>170</v>
      </c>
    </row>
    <row r="27" spans="1:2" ht="15" customHeight="1">
      <c r="A27" s="5">
        <v>13</v>
      </c>
      <c r="B27" s="5" t="s">
        <v>19</v>
      </c>
    </row>
    <row r="28" spans="1:2" ht="15" customHeight="1">
      <c r="A28" s="5">
        <v>91</v>
      </c>
      <c r="B28" s="5" t="s">
        <v>20</v>
      </c>
    </row>
    <row r="29" spans="1:2" ht="15" customHeight="1">
      <c r="A29" s="5">
        <v>1004</v>
      </c>
      <c r="B29" s="5" t="s">
        <v>169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82"/>
  <sheetViews>
    <sheetView showGridLines="0" zoomScale="85" zoomScaleNormal="85" workbookViewId="0">
      <pane ySplit="2" topLeftCell="A33" activePane="bottomLeft" state="frozen"/>
      <selection pane="bottomLeft" activeCell="A40" sqref="A40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73" customWidth="1"/>
    <col min="10" max="10" width="5.625" style="74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77" bestFit="1" customWidth="1"/>
    <col min="16" max="16" width="5.625" style="77" customWidth="1"/>
    <col min="17" max="17" width="10.625" style="81" customWidth="1"/>
    <col min="18" max="18" width="11.625" style="4" bestFit="1" customWidth="1"/>
    <col min="19" max="19" width="5.625" style="22" customWidth="1"/>
    <col min="20" max="20" width="13.25" style="22" customWidth="1"/>
    <col min="21" max="16384" width="3.125" style="22"/>
  </cols>
  <sheetData>
    <row r="1" spans="1:20" ht="20.100000000000001" customHeight="1">
      <c r="A1" s="201" t="s">
        <v>11</v>
      </c>
      <c r="B1" s="201"/>
      <c r="C1" s="13"/>
      <c r="D1" s="201" t="s">
        <v>10</v>
      </c>
      <c r="E1" s="201"/>
      <c r="F1" s="13"/>
      <c r="G1" s="201" t="s">
        <v>9</v>
      </c>
      <c r="H1" s="201"/>
      <c r="I1" s="201"/>
      <c r="K1" s="4"/>
      <c r="N1" s="13"/>
      <c r="O1" s="75"/>
      <c r="P1" s="76"/>
      <c r="Q1" s="181"/>
      <c r="R1" s="13"/>
      <c r="S1" s="78"/>
      <c r="T1" s="78"/>
    </row>
    <row r="2" spans="1:20" ht="20.100000000000001" customHeight="1">
      <c r="A2" s="17" t="s">
        <v>5</v>
      </c>
      <c r="B2" s="17" t="s">
        <v>6</v>
      </c>
      <c r="C2" s="14"/>
      <c r="D2" s="17" t="s">
        <v>5</v>
      </c>
      <c r="E2" s="17" t="s">
        <v>6</v>
      </c>
      <c r="F2" s="14"/>
      <c r="G2" s="17" t="s">
        <v>5</v>
      </c>
      <c r="H2" s="70"/>
      <c r="I2" s="70" t="s">
        <v>7</v>
      </c>
      <c r="K2" s="148" t="s">
        <v>1</v>
      </c>
      <c r="L2" s="17" t="s">
        <v>189</v>
      </c>
      <c r="M2" s="17" t="s">
        <v>6</v>
      </c>
      <c r="N2" s="14"/>
      <c r="O2" s="182" t="s">
        <v>222</v>
      </c>
      <c r="Q2" s="202" t="s">
        <v>223</v>
      </c>
      <c r="R2" s="203"/>
      <c r="S2" s="78"/>
      <c r="T2" s="183" t="s">
        <v>86</v>
      </c>
    </row>
    <row r="3" spans="1:20" s="79" customFormat="1" ht="20.100000000000001" customHeight="1">
      <c r="A3" s="1" t="s">
        <v>24</v>
      </c>
      <c r="B3" s="15" t="s">
        <v>240</v>
      </c>
      <c r="C3" s="14"/>
      <c r="D3" s="1"/>
      <c r="E3" s="16"/>
      <c r="F3" s="14"/>
      <c r="G3" s="41" t="s">
        <v>67</v>
      </c>
      <c r="H3" s="71" t="s">
        <v>75</v>
      </c>
      <c r="I3" s="72"/>
      <c r="J3" s="74"/>
      <c r="K3" s="164" t="s">
        <v>201</v>
      </c>
      <c r="L3" s="180"/>
      <c r="M3" s="16"/>
      <c r="N3" s="14"/>
      <c r="O3" s="184"/>
      <c r="P3" s="77"/>
      <c r="Q3" s="184">
        <v>44116</v>
      </c>
      <c r="R3" s="184" t="s">
        <v>225</v>
      </c>
      <c r="S3" s="78"/>
      <c r="T3" s="184" t="s">
        <v>87</v>
      </c>
    </row>
    <row r="4" spans="1:20" s="80" customFormat="1" ht="20.100000000000001" customHeight="1">
      <c r="A4" s="1" t="s">
        <v>27</v>
      </c>
      <c r="B4" s="12" t="s">
        <v>107</v>
      </c>
      <c r="C4" s="14"/>
      <c r="D4" s="1"/>
      <c r="E4" s="16"/>
      <c r="F4" s="14"/>
      <c r="G4" s="41" t="s">
        <v>64</v>
      </c>
      <c r="H4" s="71" t="s">
        <v>76</v>
      </c>
      <c r="I4" s="72"/>
      <c r="J4" s="74"/>
      <c r="K4" s="165" t="s">
        <v>145</v>
      </c>
      <c r="L4" s="180">
        <v>75000</v>
      </c>
      <c r="M4" s="16"/>
      <c r="N4" s="14"/>
      <c r="O4" s="184"/>
      <c r="P4" s="77"/>
      <c r="Q4" s="184">
        <v>44053</v>
      </c>
      <c r="R4" s="184" t="s">
        <v>203</v>
      </c>
      <c r="S4" s="78"/>
      <c r="T4" s="184" t="s">
        <v>224</v>
      </c>
    </row>
    <row r="5" spans="1:20" ht="20.100000000000001" customHeight="1">
      <c r="A5" s="1" t="s">
        <v>199</v>
      </c>
      <c r="B5" s="138">
        <v>50</v>
      </c>
      <c r="C5" s="14"/>
      <c r="D5" s="1"/>
      <c r="E5" s="16"/>
      <c r="F5" s="14"/>
      <c r="G5" s="41" t="s">
        <v>65</v>
      </c>
      <c r="H5" s="71" t="s">
        <v>77</v>
      </c>
      <c r="I5" s="72"/>
      <c r="K5" s="166" t="s">
        <v>146</v>
      </c>
      <c r="L5" s="180">
        <v>60000</v>
      </c>
      <c r="M5" s="16"/>
      <c r="N5" s="14"/>
      <c r="O5" s="184"/>
      <c r="Q5" s="184">
        <v>44054</v>
      </c>
      <c r="R5" s="184" t="s">
        <v>202</v>
      </c>
      <c r="S5" s="78"/>
      <c r="T5" s="184" t="s">
        <v>88</v>
      </c>
    </row>
    <row r="6" spans="1:20" s="80" customFormat="1" ht="20.100000000000001" customHeight="1">
      <c r="A6" s="146" t="s">
        <v>197</v>
      </c>
      <c r="B6" s="147" t="s">
        <v>198</v>
      </c>
      <c r="C6" s="14"/>
      <c r="D6" s="1"/>
      <c r="E6" s="16"/>
      <c r="F6" s="14"/>
      <c r="G6" s="41" t="s">
        <v>66</v>
      </c>
      <c r="H6" s="71" t="s">
        <v>82</v>
      </c>
      <c r="I6" s="72"/>
      <c r="J6" s="74"/>
      <c r="K6" s="166" t="s">
        <v>147</v>
      </c>
      <c r="L6" s="180">
        <v>50000</v>
      </c>
      <c r="M6" s="16"/>
      <c r="N6" s="14"/>
      <c r="O6" s="184"/>
      <c r="P6" s="77"/>
      <c r="Q6" s="184">
        <v>44095</v>
      </c>
      <c r="R6" s="184" t="s">
        <v>93</v>
      </c>
      <c r="S6" s="78"/>
      <c r="T6" s="184" t="s">
        <v>89</v>
      </c>
    </row>
    <row r="7" spans="1:20" s="80" customFormat="1" ht="20.100000000000001" customHeight="1">
      <c r="A7" s="146" t="s">
        <v>195</v>
      </c>
      <c r="B7" s="147" t="s">
        <v>179</v>
      </c>
      <c r="C7" s="14"/>
      <c r="D7" s="1"/>
      <c r="E7" s="16"/>
      <c r="F7" s="14"/>
      <c r="G7" s="41" t="s">
        <v>68</v>
      </c>
      <c r="H7" s="71" t="s">
        <v>79</v>
      </c>
      <c r="I7" s="72" t="s">
        <v>69</v>
      </c>
      <c r="J7" s="74"/>
      <c r="K7" s="166" t="s">
        <v>148</v>
      </c>
      <c r="L7" s="180">
        <v>50000</v>
      </c>
      <c r="M7" s="16"/>
      <c r="N7" s="14"/>
      <c r="O7" s="184"/>
      <c r="P7" s="77"/>
      <c r="Q7" s="184">
        <v>44096</v>
      </c>
      <c r="R7" s="184" t="s">
        <v>94</v>
      </c>
      <c r="S7" s="78"/>
      <c r="T7" s="184" t="s">
        <v>62</v>
      </c>
    </row>
    <row r="8" spans="1:20" s="80" customFormat="1" ht="20.100000000000001" customHeight="1">
      <c r="A8" s="146" t="s">
        <v>221</v>
      </c>
      <c r="B8" s="147" t="s">
        <v>220</v>
      </c>
      <c r="C8" s="14"/>
      <c r="D8" s="1"/>
      <c r="E8" s="16"/>
      <c r="F8" s="14"/>
      <c r="G8" s="41" t="s">
        <v>63</v>
      </c>
      <c r="H8" s="71" t="s">
        <v>80</v>
      </c>
      <c r="I8" s="72" t="s">
        <v>8</v>
      </c>
      <c r="J8" s="74"/>
      <c r="K8" s="167" t="s">
        <v>149</v>
      </c>
      <c r="L8" s="180">
        <v>30</v>
      </c>
      <c r="M8" s="16"/>
      <c r="N8" s="14"/>
      <c r="O8" s="184"/>
      <c r="P8" s="77"/>
      <c r="Q8" s="184"/>
      <c r="R8" s="184"/>
      <c r="S8" s="78"/>
      <c r="T8" s="184" t="s">
        <v>90</v>
      </c>
    </row>
    <row r="9" spans="1:20" s="80" customFormat="1" ht="20.100000000000001" customHeight="1">
      <c r="A9" s="146" t="s">
        <v>190</v>
      </c>
      <c r="B9" s="147" t="s">
        <v>180</v>
      </c>
      <c r="C9" s="14"/>
      <c r="D9" s="1"/>
      <c r="E9" s="16"/>
      <c r="F9" s="14"/>
      <c r="G9" s="41" t="s">
        <v>71</v>
      </c>
      <c r="H9" s="71" t="s">
        <v>81</v>
      </c>
      <c r="I9" s="72" t="s">
        <v>70</v>
      </c>
      <c r="J9" s="74"/>
      <c r="K9" s="168" t="s">
        <v>150</v>
      </c>
      <c r="L9" s="180"/>
      <c r="M9" s="16"/>
      <c r="N9" s="14"/>
      <c r="O9" s="184"/>
      <c r="P9" s="77"/>
      <c r="Q9" s="184"/>
      <c r="R9" s="184"/>
      <c r="S9" s="78"/>
      <c r="T9" s="184"/>
    </row>
    <row r="10" spans="1:20" s="80" customFormat="1" ht="20.100000000000001" customHeight="1">
      <c r="A10" s="146" t="s">
        <v>191</v>
      </c>
      <c r="B10" s="147" t="s">
        <v>181</v>
      </c>
      <c r="C10" s="14"/>
      <c r="D10" s="1"/>
      <c r="E10" s="16"/>
      <c r="F10" s="14"/>
      <c r="G10" s="41" t="s">
        <v>72</v>
      </c>
      <c r="H10" s="71" t="s">
        <v>78</v>
      </c>
      <c r="I10" s="72"/>
      <c r="J10" s="74"/>
      <c r="K10" s="168" t="s">
        <v>151</v>
      </c>
      <c r="L10" s="180"/>
      <c r="M10" s="16"/>
      <c r="N10" s="14"/>
      <c r="O10" s="184"/>
      <c r="P10" s="77"/>
      <c r="Q10" s="184"/>
      <c r="R10" s="184"/>
      <c r="S10" s="78"/>
      <c r="T10" s="184"/>
    </row>
    <row r="11" spans="1:20" s="80" customFormat="1" ht="20.100000000000001" customHeight="1">
      <c r="A11" s="146" t="s">
        <v>192</v>
      </c>
      <c r="B11" s="147" t="s">
        <v>182</v>
      </c>
      <c r="C11" s="14"/>
      <c r="D11" s="1"/>
      <c r="E11" s="16"/>
      <c r="F11" s="14"/>
      <c r="G11" s="41" t="s">
        <v>73</v>
      </c>
      <c r="H11" s="71" t="s">
        <v>83</v>
      </c>
      <c r="I11" s="72"/>
      <c r="J11" s="74"/>
      <c r="K11" s="168" t="s">
        <v>152</v>
      </c>
      <c r="L11" s="180"/>
      <c r="M11" s="16"/>
      <c r="N11" s="14"/>
      <c r="O11" s="184"/>
      <c r="P11" s="77"/>
      <c r="Q11" s="184"/>
      <c r="R11" s="184"/>
      <c r="S11" s="78"/>
      <c r="T11" s="184"/>
    </row>
    <row r="12" spans="1:20" s="80" customFormat="1" ht="20.100000000000001" customHeight="1">
      <c r="A12" s="146" t="s">
        <v>193</v>
      </c>
      <c r="B12" s="147" t="s">
        <v>194</v>
      </c>
      <c r="C12" s="14"/>
      <c r="D12" s="1"/>
      <c r="E12" s="16"/>
      <c r="F12" s="14"/>
      <c r="G12" s="41" t="s">
        <v>74</v>
      </c>
      <c r="H12" s="71" t="s">
        <v>84</v>
      </c>
      <c r="I12" s="72"/>
      <c r="J12" s="74"/>
      <c r="K12" s="169" t="s">
        <v>153</v>
      </c>
      <c r="L12" s="180"/>
      <c r="M12" s="16"/>
      <c r="N12" s="14"/>
      <c r="O12" s="184"/>
      <c r="P12" s="77"/>
      <c r="Q12" s="184"/>
      <c r="R12" s="184"/>
      <c r="S12" s="78"/>
      <c r="T12" s="184"/>
    </row>
    <row r="13" spans="1:20" s="80" customFormat="1" ht="20.100000000000001" customHeight="1">
      <c r="A13" s="1" t="s">
        <v>41</v>
      </c>
      <c r="B13" s="30" t="b">
        <v>0</v>
      </c>
      <c r="C13" s="14"/>
      <c r="D13" s="1"/>
      <c r="E13" s="16"/>
      <c r="F13" s="14"/>
      <c r="G13" s="41"/>
      <c r="H13" s="71"/>
      <c r="I13" s="72"/>
      <c r="J13" s="74"/>
      <c r="K13" s="170" t="s">
        <v>154</v>
      </c>
      <c r="L13" s="180"/>
      <c r="M13" s="16"/>
      <c r="N13" s="14"/>
      <c r="O13" s="184"/>
      <c r="P13" s="77"/>
      <c r="Q13" s="184"/>
      <c r="R13" s="184"/>
      <c r="S13" s="78"/>
      <c r="T13" s="184"/>
    </row>
    <row r="14" spans="1:20" s="80" customFormat="1" ht="20.100000000000001" customHeight="1">
      <c r="A14" s="1" t="s">
        <v>48</v>
      </c>
      <c r="B14" s="12" t="b">
        <v>0</v>
      </c>
      <c r="C14" s="14"/>
      <c r="D14" s="1"/>
      <c r="E14" s="16"/>
      <c r="F14" s="14"/>
      <c r="G14" s="41"/>
      <c r="H14" s="71"/>
      <c r="I14" s="72"/>
      <c r="J14" s="74"/>
      <c r="K14" s="170" t="s">
        <v>155</v>
      </c>
      <c r="L14" s="180"/>
      <c r="M14" s="16"/>
      <c r="N14" s="14"/>
      <c r="O14" s="184"/>
      <c r="P14" s="77"/>
      <c r="Q14" s="184"/>
      <c r="R14" s="184"/>
      <c r="S14" s="78"/>
      <c r="T14" s="184"/>
    </row>
    <row r="15" spans="1:20" s="80" customFormat="1" ht="20.100000000000001" customHeight="1">
      <c r="A15" s="1" t="s">
        <v>85</v>
      </c>
      <c r="B15" s="47">
        <v>44075</v>
      </c>
      <c r="C15" s="14"/>
      <c r="D15" s="1"/>
      <c r="E15" s="16"/>
      <c r="F15" s="14"/>
      <c r="G15" s="41"/>
      <c r="H15" s="71"/>
      <c r="I15" s="72"/>
      <c r="J15" s="74"/>
      <c r="K15" s="170" t="s">
        <v>156</v>
      </c>
      <c r="L15" s="180"/>
      <c r="M15" s="16"/>
      <c r="N15" s="14"/>
      <c r="O15" s="184"/>
      <c r="P15" s="77"/>
      <c r="Q15" s="184"/>
      <c r="R15" s="184"/>
      <c r="S15" s="78"/>
      <c r="T15" s="184"/>
    </row>
    <row r="16" spans="1:20" s="80" customFormat="1" ht="20.100000000000001" customHeight="1">
      <c r="A16" s="1" t="s">
        <v>112</v>
      </c>
      <c r="B16" s="47">
        <v>44134</v>
      </c>
      <c r="C16" s="14"/>
      <c r="D16" s="1"/>
      <c r="E16" s="16"/>
      <c r="F16" s="14"/>
      <c r="G16" s="41"/>
      <c r="H16" s="71"/>
      <c r="I16" s="72"/>
      <c r="J16" s="74"/>
      <c r="K16" s="171" t="s">
        <v>157</v>
      </c>
      <c r="L16" s="180"/>
      <c r="M16" s="16"/>
      <c r="N16" s="14"/>
      <c r="O16" s="184"/>
      <c r="P16" s="77"/>
      <c r="Q16" s="184"/>
      <c r="R16" s="184"/>
      <c r="S16" s="78"/>
      <c r="T16" s="184"/>
    </row>
    <row r="17" spans="1:20" s="80" customFormat="1" ht="20.100000000000001" customHeight="1">
      <c r="A17" s="1" t="s">
        <v>113</v>
      </c>
      <c r="B17" s="47">
        <f ca="1">TODAY()</f>
        <v>44082</v>
      </c>
      <c r="C17" s="14"/>
      <c r="D17" s="1"/>
      <c r="E17" s="16"/>
      <c r="F17" s="14"/>
      <c r="G17" s="41"/>
      <c r="H17" s="71"/>
      <c r="I17" s="72"/>
      <c r="J17" s="74"/>
      <c r="K17" s="172" t="s">
        <v>158</v>
      </c>
      <c r="L17" s="180"/>
      <c r="M17" s="16"/>
      <c r="N17" s="14"/>
      <c r="O17" s="184"/>
      <c r="P17" s="77"/>
      <c r="Q17" s="184"/>
      <c r="R17" s="184"/>
      <c r="S17" s="78"/>
      <c r="T17" s="184"/>
    </row>
    <row r="18" spans="1:20" s="80" customFormat="1" ht="20.100000000000001" customHeight="1">
      <c r="A18" s="1" t="s">
        <v>42</v>
      </c>
      <c r="B18" s="12" t="s">
        <v>61</v>
      </c>
      <c r="C18" s="14"/>
      <c r="D18" s="1"/>
      <c r="E18" s="16"/>
      <c r="F18" s="14"/>
      <c r="G18" s="41"/>
      <c r="H18" s="71"/>
      <c r="I18" s="72"/>
      <c r="J18" s="74"/>
      <c r="K18" s="172" t="s">
        <v>159</v>
      </c>
      <c r="L18" s="180"/>
      <c r="M18" s="16"/>
      <c r="N18" s="14"/>
      <c r="O18" s="184"/>
      <c r="P18" s="77"/>
      <c r="Q18" s="184"/>
      <c r="R18" s="184"/>
      <c r="S18" s="78"/>
      <c r="T18" s="184"/>
    </row>
    <row r="19" spans="1:20" s="80" customFormat="1" ht="20.100000000000001" customHeight="1">
      <c r="A19" s="1" t="s">
        <v>43</v>
      </c>
      <c r="B19" s="12" t="b">
        <v>0</v>
      </c>
      <c r="C19" s="14"/>
      <c r="D19" s="1"/>
      <c r="E19" s="16"/>
      <c r="F19" s="14"/>
      <c r="G19" s="41"/>
      <c r="H19" s="71"/>
      <c r="I19" s="72"/>
      <c r="J19" s="74"/>
      <c r="K19" s="172" t="s">
        <v>160</v>
      </c>
      <c r="L19" s="180"/>
      <c r="M19" s="16"/>
      <c r="N19" s="14"/>
      <c r="O19" s="184"/>
      <c r="P19" s="77"/>
      <c r="Q19" s="184"/>
      <c r="R19" s="184"/>
      <c r="S19" s="78"/>
      <c r="T19" s="184"/>
    </row>
    <row r="20" spans="1:20" s="80" customFormat="1" ht="20.100000000000001" customHeight="1">
      <c r="A20" s="1" t="s">
        <v>49</v>
      </c>
      <c r="B20" s="12">
        <v>10222585</v>
      </c>
      <c r="C20" s="14"/>
      <c r="D20" s="1"/>
      <c r="E20" s="16"/>
      <c r="F20" s="14"/>
      <c r="G20" s="41"/>
      <c r="H20" s="71"/>
      <c r="I20" s="72"/>
      <c r="J20" s="74"/>
      <c r="K20" s="172" t="s">
        <v>161</v>
      </c>
      <c r="L20" s="180"/>
      <c r="M20" s="16"/>
      <c r="N20" s="14"/>
      <c r="O20" s="184"/>
      <c r="P20" s="77"/>
      <c r="Q20" s="184"/>
      <c r="R20" s="184"/>
      <c r="S20" s="78"/>
      <c r="T20" s="184"/>
    </row>
    <row r="21" spans="1:20" s="80" customFormat="1" ht="20.100000000000001" customHeight="1">
      <c r="A21" s="1" t="s">
        <v>50</v>
      </c>
      <c r="B21" s="12">
        <v>16774635</v>
      </c>
      <c r="C21" s="14"/>
      <c r="D21" s="1"/>
      <c r="E21" s="16"/>
      <c r="F21" s="14"/>
      <c r="G21" s="41"/>
      <c r="H21" s="71"/>
      <c r="I21" s="72"/>
      <c r="J21" s="74"/>
      <c r="K21" s="172" t="s">
        <v>162</v>
      </c>
      <c r="L21" s="180"/>
      <c r="M21" s="16"/>
      <c r="N21" s="14"/>
      <c r="O21" s="184"/>
      <c r="P21" s="77"/>
      <c r="Q21" s="184"/>
      <c r="R21" s="184"/>
      <c r="S21" s="78"/>
      <c r="T21" s="184"/>
    </row>
    <row r="22" spans="1:20" s="80" customFormat="1" ht="20.100000000000001" customHeight="1">
      <c r="A22" s="1" t="s">
        <v>51</v>
      </c>
      <c r="B22" s="12">
        <v>16314622</v>
      </c>
      <c r="C22" s="14"/>
      <c r="D22" s="1"/>
      <c r="E22" s="16"/>
      <c r="F22" s="14"/>
      <c r="G22" s="41"/>
      <c r="H22" s="71"/>
      <c r="I22" s="72"/>
      <c r="J22" s="74"/>
      <c r="K22" s="172" t="s">
        <v>163</v>
      </c>
      <c r="L22" s="180"/>
      <c r="M22" s="16"/>
      <c r="N22" s="14"/>
      <c r="O22" s="184"/>
      <c r="P22" s="77"/>
      <c r="Q22" s="184"/>
      <c r="R22" s="184"/>
      <c r="S22" s="78"/>
      <c r="T22" s="184"/>
    </row>
    <row r="23" spans="1:20" s="80" customFormat="1" ht="20.100000000000001" customHeight="1">
      <c r="A23" s="1" t="s">
        <v>52</v>
      </c>
      <c r="B23" s="12">
        <v>14540253</v>
      </c>
      <c r="C23" s="14"/>
      <c r="D23" s="1"/>
      <c r="E23" s="16"/>
      <c r="F23" s="14"/>
      <c r="G23" s="41"/>
      <c r="H23" s="71"/>
      <c r="I23" s="72"/>
      <c r="J23" s="74"/>
      <c r="K23" s="172" t="s">
        <v>164</v>
      </c>
      <c r="L23" s="180"/>
      <c r="M23" s="16"/>
      <c r="N23" s="14"/>
      <c r="O23" s="184"/>
      <c r="P23" s="77"/>
      <c r="Q23" s="184"/>
      <c r="R23" s="184"/>
      <c r="S23" s="78"/>
      <c r="T23" s="184"/>
    </row>
    <row r="24" spans="1:20" s="80" customFormat="1" ht="20.100000000000001" customHeight="1">
      <c r="A24" s="1" t="s">
        <v>44</v>
      </c>
      <c r="B24" s="12">
        <v>6680933</v>
      </c>
      <c r="C24" s="14"/>
      <c r="D24" s="1"/>
      <c r="E24" s="16"/>
      <c r="F24" s="14"/>
      <c r="G24" s="41"/>
      <c r="H24" s="71"/>
      <c r="I24" s="72"/>
      <c r="J24" s="74"/>
      <c r="K24" s="173" t="s">
        <v>165</v>
      </c>
      <c r="L24" s="180"/>
      <c r="M24" s="16"/>
      <c r="N24" s="14"/>
      <c r="O24" s="184"/>
      <c r="P24" s="77"/>
      <c r="Q24" s="184"/>
      <c r="R24" s="184"/>
      <c r="S24" s="78"/>
      <c r="T24" s="184"/>
    </row>
    <row r="25" spans="1:20" s="80" customFormat="1" ht="20.100000000000001" customHeight="1">
      <c r="A25" s="1" t="s">
        <v>45</v>
      </c>
      <c r="B25" s="12">
        <v>10053375</v>
      </c>
      <c r="C25" s="14"/>
      <c r="D25" s="1"/>
      <c r="E25" s="16"/>
      <c r="F25" s="14"/>
      <c r="G25" s="41"/>
      <c r="H25" s="71"/>
      <c r="I25" s="72"/>
      <c r="J25" s="74"/>
      <c r="K25" s="174" t="s">
        <v>166</v>
      </c>
      <c r="L25" s="180"/>
      <c r="M25" s="16"/>
      <c r="N25" s="14"/>
      <c r="O25" s="184"/>
      <c r="P25" s="77"/>
      <c r="Q25" s="184"/>
      <c r="R25" s="184"/>
      <c r="S25" s="78"/>
      <c r="T25" s="184"/>
    </row>
    <row r="26" spans="1:20" s="80" customFormat="1" ht="20.100000000000001" customHeight="1">
      <c r="A26" s="137" t="s">
        <v>46</v>
      </c>
      <c r="B26" s="138">
        <v>255</v>
      </c>
      <c r="C26" s="14"/>
      <c r="D26" s="1"/>
      <c r="E26" s="16"/>
      <c r="F26" s="14"/>
      <c r="G26" s="41"/>
      <c r="H26" s="71"/>
      <c r="I26" s="72"/>
      <c r="J26" s="74"/>
      <c r="K26" s="174" t="s">
        <v>167</v>
      </c>
      <c r="L26" s="180"/>
      <c r="M26" s="16"/>
      <c r="N26" s="14"/>
      <c r="O26" s="184"/>
      <c r="P26" s="77"/>
      <c r="Q26" s="184"/>
      <c r="R26" s="184"/>
      <c r="S26" s="78"/>
      <c r="T26" s="184"/>
    </row>
    <row r="27" spans="1:20" s="80" customFormat="1" ht="20.100000000000001" customHeight="1">
      <c r="A27" s="137" t="s">
        <v>47</v>
      </c>
      <c r="B27" s="138">
        <v>16777215</v>
      </c>
      <c r="C27" s="14"/>
      <c r="D27" s="1"/>
      <c r="E27" s="16"/>
      <c r="F27" s="14"/>
      <c r="G27" s="41"/>
      <c r="H27" s="71"/>
      <c r="I27" s="72"/>
      <c r="J27" s="74"/>
      <c r="K27" s="174" t="s">
        <v>168</v>
      </c>
      <c r="L27" s="180"/>
      <c r="M27" s="16"/>
      <c r="N27" s="14"/>
      <c r="O27" s="184"/>
      <c r="P27" s="77"/>
      <c r="Q27" s="184"/>
      <c r="R27" s="184"/>
      <c r="S27" s="78"/>
      <c r="T27" s="184"/>
    </row>
    <row r="28" spans="1:20" s="80" customFormat="1" ht="20.100000000000001" customHeight="1">
      <c r="A28" s="137" t="s">
        <v>53</v>
      </c>
      <c r="B28" s="138">
        <v>16777215</v>
      </c>
      <c r="C28" s="14"/>
      <c r="D28" s="1"/>
      <c r="E28" s="16"/>
      <c r="F28" s="14"/>
      <c r="G28" s="41"/>
      <c r="H28" s="71"/>
      <c r="I28" s="72"/>
      <c r="J28" s="74"/>
      <c r="K28" s="175" t="s">
        <v>38</v>
      </c>
      <c r="L28" s="180"/>
      <c r="M28" s="16"/>
      <c r="N28" s="14"/>
      <c r="O28" s="184"/>
      <c r="P28" s="77"/>
      <c r="Q28" s="184"/>
      <c r="R28" s="184"/>
      <c r="S28" s="78"/>
      <c r="T28" s="184"/>
    </row>
    <row r="29" spans="1:20" s="80" customFormat="1" ht="20.100000000000001" customHeight="1">
      <c r="A29" s="137" t="s">
        <v>54</v>
      </c>
      <c r="B29" s="138">
        <v>16777215</v>
      </c>
      <c r="C29" s="14"/>
      <c r="D29" s="1"/>
      <c r="E29" s="16"/>
      <c r="F29" s="14"/>
      <c r="G29" s="41"/>
      <c r="H29" s="71"/>
      <c r="I29" s="72"/>
      <c r="J29" s="74"/>
      <c r="K29" s="176" t="s">
        <v>127</v>
      </c>
      <c r="L29" s="180"/>
      <c r="M29" s="16"/>
      <c r="N29" s="14"/>
      <c r="O29" s="184"/>
      <c r="P29" s="77"/>
      <c r="Q29" s="184"/>
      <c r="R29" s="184"/>
      <c r="S29" s="78"/>
      <c r="T29" s="184"/>
    </row>
    <row r="30" spans="1:20" s="80" customFormat="1" ht="20.100000000000001" customHeight="1">
      <c r="A30" s="1" t="s">
        <v>128</v>
      </c>
      <c r="B30" s="12" t="b">
        <v>0</v>
      </c>
      <c r="C30" s="14"/>
      <c r="D30" s="1"/>
      <c r="E30" s="16"/>
      <c r="F30" s="14"/>
      <c r="G30" s="41"/>
      <c r="H30" s="71"/>
      <c r="I30" s="72"/>
      <c r="J30" s="74"/>
      <c r="K30" s="177" t="s">
        <v>137</v>
      </c>
      <c r="L30" s="180"/>
      <c r="M30" s="16"/>
      <c r="N30" s="14"/>
      <c r="O30" s="184"/>
      <c r="P30" s="77"/>
      <c r="Q30" s="184"/>
      <c r="R30" s="184"/>
      <c r="S30" s="78"/>
      <c r="T30" s="184"/>
    </row>
    <row r="31" spans="1:20" s="80" customFormat="1" ht="20.100000000000001" customHeight="1">
      <c r="A31" s="1" t="s">
        <v>129</v>
      </c>
      <c r="B31" s="12" t="b">
        <v>0</v>
      </c>
      <c r="C31" s="14"/>
      <c r="D31" s="1"/>
      <c r="E31" s="16"/>
      <c r="F31" s="14"/>
      <c r="G31" s="41"/>
      <c r="H31" s="71"/>
      <c r="I31" s="72"/>
      <c r="J31" s="74"/>
      <c r="K31" s="178" t="s">
        <v>138</v>
      </c>
      <c r="L31" s="180"/>
      <c r="M31" s="16"/>
      <c r="N31" s="14"/>
      <c r="O31" s="184"/>
      <c r="P31" s="77"/>
      <c r="Q31" s="184"/>
      <c r="R31" s="184"/>
      <c r="S31" s="78"/>
      <c r="T31" s="184"/>
    </row>
    <row r="32" spans="1:20" s="80" customFormat="1" ht="20.100000000000001" customHeight="1">
      <c r="A32" s="1" t="s">
        <v>130</v>
      </c>
      <c r="B32" s="12" t="b">
        <v>0</v>
      </c>
      <c r="C32" s="14"/>
      <c r="D32" s="1"/>
      <c r="E32" s="16"/>
      <c r="F32" s="14"/>
      <c r="G32" s="41"/>
      <c r="H32" s="71"/>
      <c r="I32" s="72"/>
      <c r="J32" s="74"/>
      <c r="K32" s="178" t="s">
        <v>139</v>
      </c>
      <c r="L32" s="180"/>
      <c r="M32" s="16"/>
      <c r="N32" s="14"/>
      <c r="O32" s="184"/>
      <c r="P32" s="77"/>
      <c r="Q32" s="184"/>
      <c r="R32" s="184"/>
      <c r="S32" s="78"/>
      <c r="T32" s="184"/>
    </row>
    <row r="33" spans="1:20" s="80" customFormat="1" ht="20.100000000000001" customHeight="1">
      <c r="A33" s="1" t="s">
        <v>136</v>
      </c>
      <c r="B33" s="12" t="b">
        <v>0</v>
      </c>
      <c r="C33" s="14"/>
      <c r="D33" s="1"/>
      <c r="E33" s="16"/>
      <c r="F33" s="14"/>
      <c r="G33" s="41"/>
      <c r="H33" s="71"/>
      <c r="I33" s="72"/>
      <c r="J33" s="74"/>
      <c r="K33" s="178" t="s">
        <v>200</v>
      </c>
      <c r="L33" s="180"/>
      <c r="M33" s="16"/>
      <c r="N33" s="14"/>
      <c r="O33" s="184"/>
      <c r="P33" s="77"/>
      <c r="Q33" s="184"/>
      <c r="R33" s="184"/>
      <c r="S33" s="78"/>
      <c r="T33" s="184"/>
    </row>
    <row r="34" spans="1:20" s="80" customFormat="1" ht="20.100000000000001" customHeight="1">
      <c r="A34" s="1" t="s">
        <v>131</v>
      </c>
      <c r="B34" s="12" t="b">
        <v>0</v>
      </c>
      <c r="C34" s="14"/>
      <c r="D34" s="1"/>
      <c r="E34" s="16"/>
      <c r="F34" s="14"/>
      <c r="G34" s="41"/>
      <c r="H34" s="71"/>
      <c r="I34" s="72"/>
      <c r="J34" s="74"/>
      <c r="K34" s="178" t="s">
        <v>140</v>
      </c>
      <c r="L34" s="180"/>
      <c r="M34" s="16"/>
      <c r="N34" s="14"/>
      <c r="O34" s="184"/>
      <c r="P34" s="77"/>
      <c r="Q34" s="184"/>
      <c r="R34" s="184"/>
      <c r="S34" s="78"/>
      <c r="T34" s="184"/>
    </row>
    <row r="35" spans="1:20" s="80" customFormat="1" ht="20.100000000000001" customHeight="1">
      <c r="A35" s="1" t="s">
        <v>132</v>
      </c>
      <c r="B35" s="12" t="b">
        <v>1</v>
      </c>
      <c r="C35" s="14"/>
      <c r="D35" s="1"/>
      <c r="E35" s="16"/>
      <c r="F35" s="14"/>
      <c r="G35" s="41"/>
      <c r="H35" s="71"/>
      <c r="I35" s="72"/>
      <c r="J35" s="74"/>
      <c r="K35" s="178" t="s">
        <v>141</v>
      </c>
      <c r="L35" s="180"/>
      <c r="M35" s="16"/>
      <c r="N35" s="14"/>
      <c r="O35" s="184"/>
      <c r="P35" s="77"/>
      <c r="Q35" s="184"/>
      <c r="R35" s="184"/>
      <c r="S35" s="78"/>
      <c r="T35" s="184"/>
    </row>
    <row r="36" spans="1:20" s="80" customFormat="1" ht="20.100000000000001" customHeight="1">
      <c r="A36" s="137" t="s">
        <v>205</v>
      </c>
      <c r="B36" s="12" t="b">
        <v>1</v>
      </c>
      <c r="C36" s="14"/>
      <c r="D36" s="1"/>
      <c r="E36" s="16"/>
      <c r="F36" s="14"/>
      <c r="G36" s="41"/>
      <c r="H36" s="71"/>
      <c r="I36" s="72"/>
      <c r="J36" s="74"/>
      <c r="K36" s="178" t="s">
        <v>142</v>
      </c>
      <c r="L36" s="180"/>
      <c r="M36" s="16"/>
      <c r="N36" s="14"/>
      <c r="O36" s="184"/>
      <c r="P36" s="77"/>
      <c r="Q36" s="184"/>
      <c r="R36" s="184"/>
      <c r="S36" s="78"/>
      <c r="T36" s="184"/>
    </row>
    <row r="37" spans="1:20" ht="20.100000000000001" customHeight="1">
      <c r="A37" s="1" t="s">
        <v>133</v>
      </c>
      <c r="B37" s="12" t="b">
        <v>0</v>
      </c>
      <c r="D37" s="1"/>
      <c r="E37" s="16"/>
      <c r="F37" s="14"/>
      <c r="G37" s="41"/>
      <c r="H37" s="71"/>
      <c r="I37" s="72"/>
      <c r="K37" s="178" t="s">
        <v>143</v>
      </c>
      <c r="L37" s="180"/>
      <c r="M37" s="16"/>
      <c r="O37" s="184"/>
      <c r="Q37" s="184"/>
      <c r="R37" s="184"/>
      <c r="T37" s="184"/>
    </row>
    <row r="38" spans="1:20" ht="20.100000000000001" customHeight="1">
      <c r="A38" s="1" t="s">
        <v>134</v>
      </c>
      <c r="B38" s="12" t="b">
        <v>0</v>
      </c>
      <c r="D38" s="1"/>
      <c r="E38" s="16"/>
      <c r="F38" s="14"/>
      <c r="G38" s="41"/>
      <c r="H38" s="71"/>
      <c r="I38" s="72"/>
      <c r="K38" s="179" t="s">
        <v>144</v>
      </c>
      <c r="L38" s="180"/>
      <c r="M38" s="16"/>
    </row>
    <row r="39" spans="1:20" ht="20.100000000000001" customHeight="1">
      <c r="A39" s="1" t="s">
        <v>135</v>
      </c>
      <c r="B39" s="12" t="b">
        <v>0</v>
      </c>
      <c r="K39" s="4"/>
    </row>
    <row r="40" spans="1:20" ht="20.100000000000001" customHeight="1">
      <c r="A40" s="1" t="s">
        <v>196</v>
      </c>
      <c r="B40" s="12" t="b">
        <v>0</v>
      </c>
      <c r="K40" s="4"/>
    </row>
    <row r="41" spans="1:20" ht="20.100000000000001" customHeight="1">
      <c r="A41" s="1" t="s">
        <v>185</v>
      </c>
      <c r="B41" s="12" t="b">
        <v>0</v>
      </c>
      <c r="K41" s="4"/>
    </row>
    <row r="42" spans="1:20" ht="20.100000000000001" customHeight="1">
      <c r="A42" s="137" t="s">
        <v>245</v>
      </c>
      <c r="B42" s="138" t="s">
        <v>246</v>
      </c>
      <c r="K42" s="4"/>
    </row>
    <row r="43" spans="1:20" ht="20.100000000000001" customHeight="1">
      <c r="A43" s="137" t="s">
        <v>244</v>
      </c>
      <c r="B43" s="138" t="s">
        <v>69</v>
      </c>
      <c r="K43" s="4"/>
    </row>
    <row r="44" spans="1:20" ht="20.100000000000001" customHeight="1">
      <c r="A44" s="137" t="s">
        <v>243</v>
      </c>
      <c r="B44" s="138" t="s">
        <v>70</v>
      </c>
      <c r="K44" s="4"/>
    </row>
    <row r="45" spans="1:20" ht="20.100000000000001" customHeight="1">
      <c r="A45" s="137" t="s">
        <v>119</v>
      </c>
      <c r="B45" s="138" t="s">
        <v>241</v>
      </c>
      <c r="K45" s="4"/>
    </row>
    <row r="46" spans="1:20" ht="20.100000000000001" customHeight="1">
      <c r="A46" s="137" t="s">
        <v>183</v>
      </c>
      <c r="B46" s="138" t="s">
        <v>248</v>
      </c>
      <c r="K46" s="4"/>
    </row>
    <row r="47" spans="1:20" ht="20.100000000000001" customHeight="1">
      <c r="A47" s="137"/>
      <c r="B47" s="138"/>
      <c r="K47" s="4"/>
    </row>
    <row r="48" spans="1:20" ht="20.100000000000001" customHeight="1">
      <c r="A48" s="137"/>
      <c r="B48" s="138"/>
      <c r="K48" s="4"/>
    </row>
    <row r="49" spans="1:11" ht="20.100000000000001" customHeight="1">
      <c r="A49" s="137"/>
      <c r="B49" s="138"/>
      <c r="K49" s="4"/>
    </row>
    <row r="50" spans="1:11" ht="20.100000000000001" customHeight="1">
      <c r="A50" s="137" t="s">
        <v>114</v>
      </c>
      <c r="B50" s="138" t="s">
        <v>226</v>
      </c>
      <c r="K50" s="4"/>
    </row>
    <row r="51" spans="1:11" ht="20.100000000000001" customHeight="1">
      <c r="A51" s="137" t="s">
        <v>115</v>
      </c>
      <c r="B51" s="138" t="s">
        <v>227</v>
      </c>
      <c r="K51" s="4"/>
    </row>
    <row r="52" spans="1:11" ht="20.100000000000001" customHeight="1">
      <c r="A52" s="137" t="s">
        <v>121</v>
      </c>
      <c r="B52" s="138" t="s">
        <v>228</v>
      </c>
      <c r="K52" s="4"/>
    </row>
    <row r="53" spans="1:11" ht="20.100000000000001" customHeight="1">
      <c r="A53" s="1" t="s">
        <v>116</v>
      </c>
      <c r="B53" s="12" t="s">
        <v>229</v>
      </c>
      <c r="K53" s="4"/>
    </row>
    <row r="54" spans="1:11" ht="20.100000000000001" customHeight="1">
      <c r="A54" s="1" t="s">
        <v>117</v>
      </c>
      <c r="B54" s="12" t="s">
        <v>230</v>
      </c>
      <c r="K54" s="4"/>
    </row>
    <row r="55" spans="1:11" ht="20.100000000000001" customHeight="1">
      <c r="A55" s="1" t="s">
        <v>118</v>
      </c>
      <c r="B55" s="12" t="s">
        <v>231</v>
      </c>
      <c r="K55" s="4"/>
    </row>
    <row r="56" spans="1:11" ht="20.100000000000001" customHeight="1">
      <c r="A56" s="1" t="s">
        <v>110</v>
      </c>
      <c r="B56" s="12" t="s">
        <v>232</v>
      </c>
      <c r="K56" s="4"/>
    </row>
    <row r="57" spans="1:11" ht="20.100000000000001" customHeight="1">
      <c r="A57" s="1" t="s">
        <v>206</v>
      </c>
      <c r="B57" s="12" t="s">
        <v>233</v>
      </c>
      <c r="K57" s="4"/>
    </row>
    <row r="58" spans="1:11" ht="20.100000000000001" customHeight="1">
      <c r="A58" s="1" t="s">
        <v>111</v>
      </c>
      <c r="B58" s="12" t="s">
        <v>234</v>
      </c>
      <c r="K58" s="4"/>
    </row>
    <row r="59" spans="1:11" ht="20.100000000000001" customHeight="1">
      <c r="A59" s="1" t="s">
        <v>126</v>
      </c>
      <c r="B59" s="12" t="s">
        <v>235</v>
      </c>
      <c r="K59" s="4"/>
    </row>
    <row r="60" spans="1:11" ht="20.100000000000001" customHeight="1">
      <c r="A60" s="1" t="s">
        <v>175</v>
      </c>
      <c r="B60" s="12" t="s">
        <v>236</v>
      </c>
      <c r="K60" s="4"/>
    </row>
    <row r="61" spans="1:11" ht="20.100000000000001" customHeight="1">
      <c r="A61" s="1" t="s">
        <v>176</v>
      </c>
      <c r="B61" s="12" t="s">
        <v>237</v>
      </c>
      <c r="K61" s="4"/>
    </row>
    <row r="62" spans="1:11" ht="20.100000000000001" customHeight="1">
      <c r="A62" s="1" t="s">
        <v>177</v>
      </c>
      <c r="B62" s="12" t="s">
        <v>238</v>
      </c>
      <c r="K62" s="4"/>
    </row>
    <row r="63" spans="1:11" ht="20.100000000000001" customHeight="1">
      <c r="A63" s="1" t="s">
        <v>178</v>
      </c>
      <c r="B63" s="12" t="s">
        <v>239</v>
      </c>
      <c r="K63" s="4"/>
    </row>
    <row r="64" spans="1:11" ht="20.100000000000001" customHeight="1">
      <c r="A64" s="1" t="s">
        <v>108</v>
      </c>
      <c r="B64" s="12" t="s">
        <v>207</v>
      </c>
      <c r="K64" s="4"/>
    </row>
    <row r="65" spans="1:11" ht="20.100000000000001" customHeight="1">
      <c r="A65" s="1" t="s">
        <v>173</v>
      </c>
      <c r="B65" s="12" t="s">
        <v>247</v>
      </c>
      <c r="K65" s="4"/>
    </row>
    <row r="66" spans="1:11" ht="20.100000000000001" customHeight="1">
      <c r="A66" s="1"/>
      <c r="B66" s="12"/>
      <c r="K66" s="4"/>
    </row>
    <row r="67" spans="1:11" ht="20.100000000000001" customHeight="1">
      <c r="A67" s="1"/>
      <c r="B67" s="12"/>
      <c r="K67" s="4"/>
    </row>
    <row r="68" spans="1:11" ht="20.100000000000001" customHeight="1">
      <c r="A68" s="1"/>
      <c r="B68" s="12"/>
      <c r="K68" s="4"/>
    </row>
    <row r="69" spans="1:11" ht="20.100000000000001" customHeight="1">
      <c r="A69" s="1"/>
      <c r="B69" s="12"/>
      <c r="K69" s="4"/>
    </row>
    <row r="70" spans="1:11" ht="20.100000000000001" customHeight="1">
      <c r="A70" s="1"/>
      <c r="B70" s="12"/>
      <c r="K70" s="4"/>
    </row>
    <row r="71" spans="1:11" ht="20.100000000000001" customHeight="1">
      <c r="A71" s="1"/>
      <c r="B71" s="12"/>
      <c r="K71" s="4"/>
    </row>
    <row r="72" spans="1:11" ht="20.100000000000001" customHeight="1">
      <c r="A72" s="1"/>
      <c r="B72" s="12"/>
      <c r="K72" s="4"/>
    </row>
    <row r="73" spans="1:11" ht="20.100000000000001" customHeight="1">
      <c r="A73" s="1"/>
      <c r="B73" s="12"/>
      <c r="K73" s="4"/>
    </row>
    <row r="74" spans="1:11" ht="20.100000000000001" customHeight="1">
      <c r="A74" s="1"/>
      <c r="B74" s="12"/>
      <c r="K74" s="4"/>
    </row>
    <row r="75" spans="1:11" ht="20.100000000000001" customHeight="1">
      <c r="A75" s="1"/>
      <c r="B75" s="12"/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</sheetData>
  <mergeCells count="4">
    <mergeCell ref="G1:I1"/>
    <mergeCell ref="D1:E1"/>
    <mergeCell ref="A1:B1"/>
    <mergeCell ref="Q2:R2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13:B14 B19 B30:B41">
      <formula1>"TRUE,FALSE"</formula1>
    </dataValidation>
    <dataValidation type="list" allowBlank="1" showInputMessage="1" showErrorMessage="1" sqref="B4">
      <formula1>"default,CD部用"</formula1>
    </dataValidation>
    <dataValidation type="list" allowBlank="1" showInputMessage="1" showErrorMessage="1" sqref="B18">
      <formula1>"Type1,Type2"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CB20"/>
  <sheetViews>
    <sheetView showGridLines="0" tabSelected="1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E9" sqref="E9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5" customWidth="1"/>
    <col min="8" max="8" width="10.625" style="21" customWidth="1"/>
    <col min="9" max="10" width="6.625" style="25" customWidth="1"/>
    <col min="11" max="12" width="6.625" style="26" customWidth="1"/>
    <col min="13" max="14" width="10.625" style="68" customWidth="1"/>
    <col min="15" max="15" width="8.625" style="21" customWidth="1"/>
    <col min="16" max="16" width="8.625" style="93" customWidth="1"/>
    <col min="17" max="18" width="7.625" style="44" customWidth="1"/>
    <col min="19" max="19" width="10.625" style="45" customWidth="1"/>
    <col min="20" max="20" width="40.625" style="20" customWidth="1"/>
    <col min="21" max="21" width="3.125" style="18" customWidth="1"/>
    <col min="22" max="29" width="3.125" style="18"/>
    <col min="30" max="51" width="3.125" style="18" customWidth="1"/>
    <col min="52" max="59" width="3.125" style="18"/>
    <col min="60" max="80" width="3.125" style="18" customWidth="1"/>
    <col min="81" max="16384" width="3.125" style="18"/>
  </cols>
  <sheetData>
    <row r="1" spans="1:80" ht="20.100000000000001" customHeight="1">
      <c r="A1" s="65"/>
      <c r="B1" s="34"/>
      <c r="C1" s="34"/>
      <c r="D1" s="34"/>
      <c r="E1" s="34"/>
      <c r="F1" s="23"/>
      <c r="G1" s="66"/>
      <c r="H1" s="34"/>
      <c r="I1" s="66"/>
      <c r="J1" s="66"/>
      <c r="K1" s="67"/>
      <c r="L1" s="69"/>
      <c r="M1" s="82"/>
      <c r="N1" s="82"/>
      <c r="O1" s="34"/>
      <c r="P1" s="92"/>
      <c r="Q1" s="37"/>
      <c r="R1" s="37"/>
      <c r="S1" s="39"/>
      <c r="T1" s="43"/>
    </row>
    <row r="2" spans="1:80" ht="20.100000000000001" customHeight="1">
      <c r="A2" s="213" t="s">
        <v>56</v>
      </c>
      <c r="B2" s="213" t="s">
        <v>0</v>
      </c>
      <c r="C2" s="215" t="s">
        <v>120</v>
      </c>
      <c r="D2" s="215" t="s">
        <v>242</v>
      </c>
      <c r="E2" s="214" t="s">
        <v>55</v>
      </c>
      <c r="F2" s="94" t="s">
        <v>2</v>
      </c>
      <c r="G2" s="95"/>
      <c r="H2" s="216" t="s">
        <v>1</v>
      </c>
      <c r="I2" s="94" t="s">
        <v>28</v>
      </c>
      <c r="J2" s="95"/>
      <c r="K2" s="96" t="s">
        <v>35</v>
      </c>
      <c r="L2" s="97"/>
      <c r="M2" s="214" t="s">
        <v>204</v>
      </c>
      <c r="N2" s="214" t="s">
        <v>109</v>
      </c>
      <c r="O2" s="108" t="s">
        <v>122</v>
      </c>
      <c r="P2" s="99"/>
      <c r="Q2" s="98" t="s">
        <v>29</v>
      </c>
      <c r="R2" s="100"/>
      <c r="S2" s="209" t="s">
        <v>40</v>
      </c>
      <c r="T2" s="211" t="s">
        <v>30</v>
      </c>
    </row>
    <row r="3" spans="1:80" s="28" customFormat="1" ht="20.100000000000001" customHeight="1">
      <c r="A3" s="213"/>
      <c r="B3" s="213"/>
      <c r="C3" s="215"/>
      <c r="D3" s="215"/>
      <c r="E3" s="214"/>
      <c r="F3" s="101" t="s">
        <v>3</v>
      </c>
      <c r="G3" s="102" t="s">
        <v>4</v>
      </c>
      <c r="H3" s="217"/>
      <c r="I3" s="101" t="s">
        <v>31</v>
      </c>
      <c r="J3" s="102" t="s">
        <v>32</v>
      </c>
      <c r="K3" s="103" t="s">
        <v>36</v>
      </c>
      <c r="L3" s="104" t="s">
        <v>37</v>
      </c>
      <c r="M3" s="214"/>
      <c r="N3" s="214"/>
      <c r="O3" s="109" t="s">
        <v>123</v>
      </c>
      <c r="P3" s="106" t="s">
        <v>124</v>
      </c>
      <c r="Q3" s="105" t="s">
        <v>33</v>
      </c>
      <c r="R3" s="107" t="s">
        <v>34</v>
      </c>
      <c r="S3" s="210"/>
      <c r="T3" s="212"/>
      <c r="U3" s="206">
        <v>44075</v>
      </c>
      <c r="V3" s="205"/>
      <c r="W3" s="205"/>
      <c r="X3" s="205"/>
      <c r="Y3" s="205"/>
      <c r="Z3" s="205"/>
      <c r="AA3" s="205"/>
      <c r="AB3" s="205"/>
      <c r="AC3" s="205"/>
      <c r="AD3" s="205"/>
      <c r="AE3" s="205"/>
      <c r="AF3" s="205"/>
      <c r="AG3" s="205"/>
      <c r="AH3" s="205"/>
      <c r="AI3" s="205"/>
      <c r="AJ3" s="205"/>
      <c r="AK3" s="205"/>
      <c r="AL3" s="205"/>
      <c r="AM3" s="205"/>
      <c r="AN3" s="205"/>
      <c r="AO3" s="205"/>
      <c r="AP3" s="205"/>
      <c r="AQ3" s="205"/>
      <c r="AR3" s="205"/>
      <c r="AS3" s="205"/>
      <c r="AT3" s="205"/>
      <c r="AU3" s="205"/>
      <c r="AV3" s="205"/>
      <c r="AW3" s="205"/>
      <c r="AX3" s="196"/>
      <c r="AY3" s="204">
        <v>44105</v>
      </c>
      <c r="AZ3" s="205"/>
      <c r="BA3" s="205"/>
      <c r="BB3" s="205"/>
      <c r="BC3" s="205"/>
      <c r="BD3" s="205"/>
      <c r="BE3" s="205"/>
      <c r="BF3" s="205"/>
      <c r="BG3" s="205"/>
      <c r="BH3" s="205"/>
      <c r="BI3" s="205"/>
      <c r="BJ3" s="205"/>
      <c r="BK3" s="205"/>
      <c r="BL3" s="205"/>
      <c r="BM3" s="205"/>
      <c r="BN3" s="205"/>
      <c r="BO3" s="205"/>
      <c r="BP3" s="205"/>
      <c r="BQ3" s="205"/>
      <c r="BR3" s="205"/>
      <c r="BS3" s="205"/>
      <c r="BT3" s="205"/>
      <c r="BU3" s="205"/>
      <c r="BV3" s="205"/>
      <c r="BW3" s="205"/>
      <c r="BX3" s="205"/>
      <c r="BY3" s="205"/>
      <c r="BZ3" s="205"/>
      <c r="CA3" s="205"/>
      <c r="CB3" s="220"/>
    </row>
    <row r="4" spans="1:80" s="29" customFormat="1" ht="20.100000000000001" customHeight="1">
      <c r="A4" s="19"/>
      <c r="B4" s="19"/>
      <c r="C4" s="19"/>
      <c r="D4" s="83"/>
      <c r="E4" s="139"/>
      <c r="F4" s="24"/>
      <c r="G4" s="87"/>
      <c r="H4" s="140"/>
      <c r="I4" s="24"/>
      <c r="J4" s="87"/>
      <c r="K4" s="27"/>
      <c r="L4" s="88"/>
      <c r="M4" s="121"/>
      <c r="N4" s="86"/>
      <c r="O4" s="110"/>
      <c r="P4" s="90"/>
      <c r="Q4" s="32"/>
      <c r="R4" s="89"/>
      <c r="S4" s="33"/>
      <c r="T4" s="46"/>
      <c r="U4" s="85">
        <v>44075</v>
      </c>
      <c r="V4" s="62">
        <v>44076</v>
      </c>
      <c r="W4" s="62">
        <v>44077</v>
      </c>
      <c r="X4" s="62">
        <v>44078</v>
      </c>
      <c r="Y4" s="63">
        <v>44079</v>
      </c>
      <c r="Z4" s="61">
        <v>44080</v>
      </c>
      <c r="AA4" s="62">
        <v>44081</v>
      </c>
      <c r="AB4" s="62">
        <v>44082</v>
      </c>
      <c r="AC4" s="62">
        <v>44083</v>
      </c>
      <c r="AD4" s="62">
        <v>44084</v>
      </c>
      <c r="AE4" s="62">
        <v>44085</v>
      </c>
      <c r="AF4" s="63">
        <v>44086</v>
      </c>
      <c r="AG4" s="61">
        <v>44087</v>
      </c>
      <c r="AH4" s="62">
        <v>44088</v>
      </c>
      <c r="AI4" s="62">
        <v>44089</v>
      </c>
      <c r="AJ4" s="62">
        <v>44090</v>
      </c>
      <c r="AK4" s="62">
        <v>44091</v>
      </c>
      <c r="AL4" s="62">
        <v>44092</v>
      </c>
      <c r="AM4" s="63">
        <v>44093</v>
      </c>
      <c r="AN4" s="61">
        <v>44094</v>
      </c>
      <c r="AO4" s="61">
        <v>44095</v>
      </c>
      <c r="AP4" s="61">
        <v>44096</v>
      </c>
      <c r="AQ4" s="62">
        <v>44097</v>
      </c>
      <c r="AR4" s="62">
        <v>44098</v>
      </c>
      <c r="AS4" s="62">
        <v>44099</v>
      </c>
      <c r="AT4" s="63">
        <v>44100</v>
      </c>
      <c r="AU4" s="61">
        <v>44101</v>
      </c>
      <c r="AV4" s="62">
        <v>44102</v>
      </c>
      <c r="AW4" s="62">
        <v>44103</v>
      </c>
      <c r="AX4" s="62">
        <v>44104</v>
      </c>
      <c r="AY4" s="64">
        <v>44105</v>
      </c>
      <c r="AZ4" s="62">
        <v>44106</v>
      </c>
      <c r="BA4" s="63">
        <v>44107</v>
      </c>
      <c r="BB4" s="61">
        <v>44108</v>
      </c>
      <c r="BC4" s="62">
        <v>44109</v>
      </c>
      <c r="BD4" s="62">
        <v>44110</v>
      </c>
      <c r="BE4" s="62">
        <v>44111</v>
      </c>
      <c r="BF4" s="62">
        <v>44112</v>
      </c>
      <c r="BG4" s="62">
        <v>44113</v>
      </c>
      <c r="BH4" s="63">
        <v>44114</v>
      </c>
      <c r="BI4" s="61">
        <v>44115</v>
      </c>
      <c r="BJ4" s="61">
        <v>44116</v>
      </c>
      <c r="BK4" s="62">
        <v>44117</v>
      </c>
      <c r="BL4" s="62">
        <v>44118</v>
      </c>
      <c r="BM4" s="62">
        <v>44119</v>
      </c>
      <c r="BN4" s="62">
        <v>44120</v>
      </c>
      <c r="BO4" s="63">
        <v>44121</v>
      </c>
      <c r="BP4" s="61">
        <v>44122</v>
      </c>
      <c r="BQ4" s="62">
        <v>44123</v>
      </c>
      <c r="BR4" s="62">
        <v>44124</v>
      </c>
      <c r="BS4" s="62">
        <v>44125</v>
      </c>
      <c r="BT4" s="62">
        <v>44126</v>
      </c>
      <c r="BU4" s="62">
        <v>44127</v>
      </c>
      <c r="BV4" s="63">
        <v>44128</v>
      </c>
      <c r="BW4" s="61">
        <v>44129</v>
      </c>
      <c r="BX4" s="62">
        <v>44130</v>
      </c>
      <c r="BY4" s="62">
        <v>44131</v>
      </c>
      <c r="BZ4" s="62">
        <v>44132</v>
      </c>
      <c r="CA4" s="62">
        <v>44133</v>
      </c>
      <c r="CB4" s="221">
        <v>44134</v>
      </c>
    </row>
    <row r="5" spans="1:80" ht="35.1" customHeight="1">
      <c r="A5" s="207" t="s">
        <v>25</v>
      </c>
      <c r="B5" s="207"/>
      <c r="C5" s="207"/>
      <c r="D5" s="208"/>
      <c r="E5" s="208"/>
      <c r="F5" s="36"/>
      <c r="G5" s="36"/>
      <c r="H5" s="31"/>
      <c r="I5" s="36"/>
      <c r="J5" s="36"/>
      <c r="K5" s="141"/>
      <c r="L5" s="141">
        <v>0</v>
      </c>
      <c r="M5" s="31"/>
      <c r="N5" s="31"/>
      <c r="O5" s="31"/>
      <c r="P5" s="91"/>
      <c r="Q5" s="38"/>
      <c r="R5" s="38"/>
      <c r="S5" s="142">
        <v>-10</v>
      </c>
      <c r="T5" s="31"/>
      <c r="U5" s="85"/>
      <c r="V5" s="62"/>
      <c r="W5" s="62"/>
      <c r="X5" s="62"/>
      <c r="Y5" s="63"/>
      <c r="Z5" s="61"/>
      <c r="AA5" s="62"/>
      <c r="AB5" s="62"/>
      <c r="AC5" s="62"/>
      <c r="AD5" s="62"/>
      <c r="AE5" s="62"/>
      <c r="AF5" s="63"/>
      <c r="AG5" s="61"/>
      <c r="AH5" s="62"/>
      <c r="AI5" s="62"/>
      <c r="AJ5" s="62"/>
      <c r="AK5" s="62"/>
      <c r="AL5" s="62"/>
      <c r="AM5" s="63"/>
      <c r="AN5" s="61"/>
      <c r="AO5" s="61"/>
      <c r="AP5" s="61"/>
      <c r="AQ5" s="62"/>
      <c r="AR5" s="62"/>
      <c r="AS5" s="62"/>
      <c r="AT5" s="63"/>
      <c r="AU5" s="61"/>
      <c r="AV5" s="62"/>
      <c r="AW5" s="62"/>
      <c r="AX5" s="62"/>
      <c r="AY5" s="64"/>
      <c r="AZ5" s="62"/>
      <c r="BA5" s="63"/>
      <c r="BB5" s="61"/>
      <c r="BC5" s="62"/>
      <c r="BD5" s="62"/>
      <c r="BE5" s="62"/>
      <c r="BF5" s="62"/>
      <c r="BG5" s="62"/>
      <c r="BH5" s="63"/>
      <c r="BI5" s="61"/>
      <c r="BJ5" s="61"/>
      <c r="BK5" s="62"/>
      <c r="BL5" s="62"/>
      <c r="BM5" s="62"/>
      <c r="BN5" s="62"/>
      <c r="BO5" s="63"/>
      <c r="BP5" s="61"/>
      <c r="BQ5" s="62"/>
      <c r="BR5" s="62"/>
      <c r="BS5" s="62"/>
      <c r="BT5" s="62"/>
      <c r="BU5" s="62"/>
      <c r="BV5" s="63"/>
      <c r="BW5" s="61"/>
      <c r="BX5" s="62"/>
      <c r="BY5" s="62"/>
      <c r="BZ5" s="62"/>
      <c r="CA5" s="62"/>
      <c r="CB5" s="221"/>
    </row>
    <row r="6" spans="1:80" s="29" customFormat="1" ht="20.100000000000001" customHeight="1">
      <c r="A6" s="19">
        <v>1</v>
      </c>
      <c r="B6" s="19">
        <f ca="1">getIndentLevel($E$6)</f>
        <v>1</v>
      </c>
      <c r="C6" s="19"/>
      <c r="D6" s="83">
        <f>ROW()-5</f>
        <v>1</v>
      </c>
      <c r="E6" s="139" t="s">
        <v>91</v>
      </c>
      <c r="F6" s="24">
        <v>44076</v>
      </c>
      <c r="G6" s="87">
        <v>44098</v>
      </c>
      <c r="H6" s="140" t="s">
        <v>127</v>
      </c>
      <c r="I6" s="24"/>
      <c r="J6" s="87"/>
      <c r="K6" s="27"/>
      <c r="L6" s="88"/>
      <c r="M6" s="121"/>
      <c r="N6" s="86"/>
      <c r="O6" s="110"/>
      <c r="P6" s="90" t="s">
        <v>253</v>
      </c>
      <c r="Q6" s="32">
        <f>17</f>
        <v>17</v>
      </c>
      <c r="R6" s="89">
        <f>5</f>
        <v>5</v>
      </c>
      <c r="S6" s="33">
        <v>-10</v>
      </c>
      <c r="T6" s="46"/>
      <c r="U6" s="85"/>
      <c r="V6" s="62"/>
      <c r="W6" s="62"/>
      <c r="X6" s="62"/>
      <c r="Y6" s="63"/>
      <c r="Z6" s="61"/>
      <c r="AA6" s="62"/>
      <c r="AB6" s="62"/>
      <c r="AC6" s="62"/>
      <c r="AD6" s="62"/>
      <c r="AE6" s="62"/>
      <c r="AF6" s="63"/>
      <c r="AG6" s="61"/>
      <c r="AH6" s="62"/>
      <c r="AI6" s="62"/>
      <c r="AJ6" s="62"/>
      <c r="AK6" s="62"/>
      <c r="AL6" s="62"/>
      <c r="AM6" s="63"/>
      <c r="AN6" s="61"/>
      <c r="AO6" s="61"/>
      <c r="AP6" s="61"/>
      <c r="AQ6" s="62"/>
      <c r="AR6" s="62"/>
      <c r="AS6" s="62"/>
      <c r="AT6" s="63"/>
      <c r="AU6" s="61"/>
      <c r="AV6" s="62"/>
      <c r="AW6" s="62"/>
      <c r="AX6" s="62"/>
      <c r="AY6" s="64"/>
      <c r="AZ6" s="62"/>
      <c r="BA6" s="63"/>
      <c r="BB6" s="61"/>
      <c r="BC6" s="62"/>
      <c r="BD6" s="62"/>
      <c r="BE6" s="62"/>
      <c r="BF6" s="62"/>
      <c r="BG6" s="62"/>
      <c r="BH6" s="63"/>
      <c r="BI6" s="61"/>
      <c r="BJ6" s="61"/>
      <c r="BK6" s="62"/>
      <c r="BL6" s="62"/>
      <c r="BM6" s="62"/>
      <c r="BN6" s="62"/>
      <c r="BO6" s="63"/>
      <c r="BP6" s="61"/>
      <c r="BQ6" s="62"/>
      <c r="BR6" s="62"/>
      <c r="BS6" s="62"/>
      <c r="BT6" s="62"/>
      <c r="BU6" s="62"/>
      <c r="BV6" s="63"/>
      <c r="BW6" s="61"/>
      <c r="BX6" s="62"/>
      <c r="BY6" s="62"/>
      <c r="BZ6" s="62"/>
      <c r="CA6" s="62"/>
      <c r="CB6" s="221"/>
    </row>
    <row r="7" spans="1:80" s="29" customFormat="1" ht="20.100000000000001" customHeight="1">
      <c r="A7" s="19">
        <v>2</v>
      </c>
      <c r="B7" s="19">
        <f ca="1">getIndentLevel($E$7)</f>
        <v>2</v>
      </c>
      <c r="C7" s="19"/>
      <c r="D7" s="83">
        <f>ROW()-5</f>
        <v>2</v>
      </c>
      <c r="E7" s="143" t="s">
        <v>92</v>
      </c>
      <c r="F7" s="24">
        <v>44076</v>
      </c>
      <c r="G7" s="87">
        <v>44091</v>
      </c>
      <c r="H7" s="140">
        <v>44091</v>
      </c>
      <c r="I7" s="24"/>
      <c r="J7" s="87"/>
      <c r="K7" s="27"/>
      <c r="L7" s="88"/>
      <c r="M7" s="121"/>
      <c r="N7" s="86"/>
      <c r="O7" s="110">
        <v>6</v>
      </c>
      <c r="P7" s="90" t="s">
        <v>125</v>
      </c>
      <c r="Q7" s="32">
        <f>6</f>
        <v>6</v>
      </c>
      <c r="R7" s="89">
        <f>5</f>
        <v>5</v>
      </c>
      <c r="S7" s="33">
        <v>-10</v>
      </c>
      <c r="T7" s="46"/>
      <c r="U7" s="85"/>
      <c r="V7" s="62"/>
      <c r="W7" s="62"/>
      <c r="X7" s="62"/>
      <c r="Y7" s="63"/>
      <c r="Z7" s="61"/>
      <c r="AA7" s="62"/>
      <c r="AB7" s="62"/>
      <c r="AC7" s="62"/>
      <c r="AD7" s="62"/>
      <c r="AE7" s="62"/>
      <c r="AF7" s="63"/>
      <c r="AG7" s="61"/>
      <c r="AH7" s="62"/>
      <c r="AI7" s="62"/>
      <c r="AJ7" s="62"/>
      <c r="AK7" s="62"/>
      <c r="AL7" s="62"/>
      <c r="AM7" s="63"/>
      <c r="AN7" s="61"/>
      <c r="AO7" s="61"/>
      <c r="AP7" s="61"/>
      <c r="AQ7" s="62"/>
      <c r="AR7" s="62"/>
      <c r="AS7" s="62"/>
      <c r="AT7" s="63"/>
      <c r="AU7" s="61"/>
      <c r="AV7" s="62"/>
      <c r="AW7" s="62"/>
      <c r="AX7" s="62"/>
      <c r="AY7" s="64"/>
      <c r="AZ7" s="62"/>
      <c r="BA7" s="63"/>
      <c r="BB7" s="61"/>
      <c r="BC7" s="62"/>
      <c r="BD7" s="62"/>
      <c r="BE7" s="62"/>
      <c r="BF7" s="62"/>
      <c r="BG7" s="62"/>
      <c r="BH7" s="63"/>
      <c r="BI7" s="61"/>
      <c r="BJ7" s="61"/>
      <c r="BK7" s="62"/>
      <c r="BL7" s="62"/>
      <c r="BM7" s="62"/>
      <c r="BN7" s="62"/>
      <c r="BO7" s="63"/>
      <c r="BP7" s="61"/>
      <c r="BQ7" s="62"/>
      <c r="BR7" s="62"/>
      <c r="BS7" s="62"/>
      <c r="BT7" s="62"/>
      <c r="BU7" s="62"/>
      <c r="BV7" s="63"/>
      <c r="BW7" s="61"/>
      <c r="BX7" s="62"/>
      <c r="BY7" s="62"/>
      <c r="BZ7" s="62"/>
      <c r="CA7" s="62"/>
      <c r="CB7" s="221"/>
    </row>
    <row r="8" spans="1:80" s="29" customFormat="1" ht="20.100000000000001" customHeight="1">
      <c r="A8" s="19">
        <v>3</v>
      </c>
      <c r="B8" s="19">
        <f ca="1">getIndentLevel($E$8)</f>
        <v>3</v>
      </c>
      <c r="C8" s="19"/>
      <c r="D8" s="83">
        <f>ROW()-5</f>
        <v>3</v>
      </c>
      <c r="E8" s="144" t="s">
        <v>186</v>
      </c>
      <c r="F8" s="24">
        <v>44076</v>
      </c>
      <c r="G8" s="87">
        <v>44076</v>
      </c>
      <c r="H8" s="140" t="s">
        <v>145</v>
      </c>
      <c r="I8" s="24"/>
      <c r="J8" s="87"/>
      <c r="K8" s="27"/>
      <c r="L8" s="88">
        <f>0</f>
        <v>0</v>
      </c>
      <c r="M8" s="121"/>
      <c r="N8" s="86"/>
      <c r="O8" s="110">
        <v>7</v>
      </c>
      <c r="P8" s="90"/>
      <c r="Q8" s="32">
        <f>1</f>
        <v>1</v>
      </c>
      <c r="R8" s="89">
        <f>5</f>
        <v>5</v>
      </c>
      <c r="S8" s="33">
        <v>-5</v>
      </c>
      <c r="T8" s="46"/>
      <c r="U8" s="85"/>
      <c r="V8" s="62"/>
      <c r="W8" s="62"/>
      <c r="X8" s="62"/>
      <c r="Y8" s="63"/>
      <c r="Z8" s="61"/>
      <c r="AA8" s="62"/>
      <c r="AB8" s="62"/>
      <c r="AC8" s="62"/>
      <c r="AD8" s="62"/>
      <c r="AE8" s="62"/>
      <c r="AF8" s="63"/>
      <c r="AG8" s="61"/>
      <c r="AH8" s="62"/>
      <c r="AI8" s="62"/>
      <c r="AJ8" s="62"/>
      <c r="AK8" s="62"/>
      <c r="AL8" s="62"/>
      <c r="AM8" s="63"/>
      <c r="AN8" s="61"/>
      <c r="AO8" s="61"/>
      <c r="AP8" s="61"/>
      <c r="AQ8" s="62"/>
      <c r="AR8" s="62"/>
      <c r="AS8" s="62"/>
      <c r="AT8" s="63"/>
      <c r="AU8" s="61"/>
      <c r="AV8" s="62"/>
      <c r="AW8" s="62"/>
      <c r="AX8" s="62"/>
      <c r="AY8" s="64"/>
      <c r="AZ8" s="62"/>
      <c r="BA8" s="63"/>
      <c r="BB8" s="61"/>
      <c r="BC8" s="62"/>
      <c r="BD8" s="62"/>
      <c r="BE8" s="62"/>
      <c r="BF8" s="62"/>
      <c r="BG8" s="62"/>
      <c r="BH8" s="63"/>
      <c r="BI8" s="61"/>
      <c r="BJ8" s="61"/>
      <c r="BK8" s="62"/>
      <c r="BL8" s="62"/>
      <c r="BM8" s="62"/>
      <c r="BN8" s="62"/>
      <c r="BO8" s="63"/>
      <c r="BP8" s="61"/>
      <c r="BQ8" s="62"/>
      <c r="BR8" s="62"/>
      <c r="BS8" s="62"/>
      <c r="BT8" s="62"/>
      <c r="BU8" s="62"/>
      <c r="BV8" s="63"/>
      <c r="BW8" s="61"/>
      <c r="BX8" s="62"/>
      <c r="BY8" s="62"/>
      <c r="BZ8" s="62"/>
      <c r="CA8" s="62"/>
      <c r="CB8" s="221"/>
    </row>
    <row r="9" spans="1:80" s="29" customFormat="1" ht="20.100000000000001" customHeight="1">
      <c r="A9" s="19">
        <v>4</v>
      </c>
      <c r="B9" s="19">
        <f ca="1">getIndentLevel($E$9)</f>
        <v>3</v>
      </c>
      <c r="C9" s="19"/>
      <c r="D9" s="83">
        <f>ROW()-5</f>
        <v>4</v>
      </c>
      <c r="E9" s="144" t="s">
        <v>259</v>
      </c>
      <c r="F9" s="24">
        <v>44078</v>
      </c>
      <c r="G9" s="87">
        <v>44081</v>
      </c>
      <c r="H9" s="140" t="s">
        <v>149</v>
      </c>
      <c r="I9" s="24"/>
      <c r="J9" s="87"/>
      <c r="K9" s="27"/>
      <c r="L9" s="88">
        <f>0</f>
        <v>0</v>
      </c>
      <c r="M9" s="121"/>
      <c r="N9" s="86"/>
      <c r="O9" s="110">
        <v>7</v>
      </c>
      <c r="P9" s="90"/>
      <c r="Q9" s="32">
        <f>2</f>
        <v>2</v>
      </c>
      <c r="R9" s="89">
        <f>3</f>
        <v>3</v>
      </c>
      <c r="S9" s="33">
        <v>-3</v>
      </c>
      <c r="T9" s="46"/>
      <c r="U9" s="85"/>
      <c r="V9" s="62"/>
      <c r="W9" s="62"/>
      <c r="X9" s="62"/>
      <c r="Y9" s="63"/>
      <c r="Z9" s="61"/>
      <c r="AA9" s="62"/>
      <c r="AB9" s="62"/>
      <c r="AC9" s="62"/>
      <c r="AD9" s="62"/>
      <c r="AE9" s="62"/>
      <c r="AF9" s="63"/>
      <c r="AG9" s="61"/>
      <c r="AH9" s="62"/>
      <c r="AI9" s="62"/>
      <c r="AJ9" s="62"/>
      <c r="AK9" s="62"/>
      <c r="AL9" s="62"/>
      <c r="AM9" s="63"/>
      <c r="AN9" s="61"/>
      <c r="AO9" s="61"/>
      <c r="AP9" s="61"/>
      <c r="AQ9" s="62"/>
      <c r="AR9" s="62"/>
      <c r="AS9" s="62"/>
      <c r="AT9" s="63"/>
      <c r="AU9" s="61"/>
      <c r="AV9" s="62"/>
      <c r="AW9" s="62"/>
      <c r="AX9" s="62"/>
      <c r="AY9" s="64"/>
      <c r="AZ9" s="62"/>
      <c r="BA9" s="63"/>
      <c r="BB9" s="61"/>
      <c r="BC9" s="62"/>
      <c r="BD9" s="62"/>
      <c r="BE9" s="62"/>
      <c r="BF9" s="62"/>
      <c r="BG9" s="62"/>
      <c r="BH9" s="63"/>
      <c r="BI9" s="61"/>
      <c r="BJ9" s="61"/>
      <c r="BK9" s="62"/>
      <c r="BL9" s="62"/>
      <c r="BM9" s="62"/>
      <c r="BN9" s="62"/>
      <c r="BO9" s="63"/>
      <c r="BP9" s="61"/>
      <c r="BQ9" s="62"/>
      <c r="BR9" s="62"/>
      <c r="BS9" s="62"/>
      <c r="BT9" s="62"/>
      <c r="BU9" s="62"/>
      <c r="BV9" s="63"/>
      <c r="BW9" s="61"/>
      <c r="BX9" s="62"/>
      <c r="BY9" s="62"/>
      <c r="BZ9" s="62"/>
      <c r="CA9" s="62"/>
      <c r="CB9" s="221"/>
    </row>
    <row r="10" spans="1:80" s="29" customFormat="1" ht="20.100000000000001" customHeight="1">
      <c r="A10" s="19">
        <v>5</v>
      </c>
      <c r="B10" s="19">
        <f ca="1">getIndentLevel($E$10)</f>
        <v>3</v>
      </c>
      <c r="C10" s="19"/>
      <c r="D10" s="83">
        <f>ROW()-5</f>
        <v>5</v>
      </c>
      <c r="E10" s="144" t="s">
        <v>261</v>
      </c>
      <c r="F10" s="24">
        <v>44081</v>
      </c>
      <c r="G10" s="87">
        <v>44083</v>
      </c>
      <c r="H10" s="140" t="s">
        <v>153</v>
      </c>
      <c r="I10" s="24"/>
      <c r="J10" s="87"/>
      <c r="K10" s="27"/>
      <c r="L10" s="88">
        <f>0</f>
        <v>0</v>
      </c>
      <c r="M10" s="121"/>
      <c r="N10" s="86"/>
      <c r="O10" s="110">
        <v>7</v>
      </c>
      <c r="P10" s="90"/>
      <c r="Q10" s="32">
        <f>3</f>
        <v>3</v>
      </c>
      <c r="R10" s="89">
        <f>2</f>
        <v>2</v>
      </c>
      <c r="S10" s="33">
        <v>-2</v>
      </c>
      <c r="T10" s="46"/>
      <c r="U10" s="85"/>
      <c r="V10" s="62"/>
      <c r="W10" s="62"/>
      <c r="X10" s="62"/>
      <c r="Y10" s="63"/>
      <c r="Z10" s="61"/>
      <c r="AA10" s="62"/>
      <c r="AB10" s="62"/>
      <c r="AC10" s="62"/>
      <c r="AD10" s="62"/>
      <c r="AE10" s="62"/>
      <c r="AF10" s="63"/>
      <c r="AG10" s="61"/>
      <c r="AH10" s="62"/>
      <c r="AI10" s="62"/>
      <c r="AJ10" s="62"/>
      <c r="AK10" s="62"/>
      <c r="AL10" s="62"/>
      <c r="AM10" s="63"/>
      <c r="AN10" s="61"/>
      <c r="AO10" s="61"/>
      <c r="AP10" s="61"/>
      <c r="AQ10" s="62"/>
      <c r="AR10" s="62"/>
      <c r="AS10" s="62"/>
      <c r="AT10" s="63"/>
      <c r="AU10" s="61"/>
      <c r="AV10" s="62"/>
      <c r="AW10" s="62"/>
      <c r="AX10" s="62"/>
      <c r="AY10" s="64"/>
      <c r="AZ10" s="62"/>
      <c r="BA10" s="63"/>
      <c r="BB10" s="61"/>
      <c r="BC10" s="62"/>
      <c r="BD10" s="62"/>
      <c r="BE10" s="62"/>
      <c r="BF10" s="62"/>
      <c r="BG10" s="62"/>
      <c r="BH10" s="63"/>
      <c r="BI10" s="61"/>
      <c r="BJ10" s="61"/>
      <c r="BK10" s="62"/>
      <c r="BL10" s="62"/>
      <c r="BM10" s="62"/>
      <c r="BN10" s="62"/>
      <c r="BO10" s="63"/>
      <c r="BP10" s="61"/>
      <c r="BQ10" s="62"/>
      <c r="BR10" s="62"/>
      <c r="BS10" s="62"/>
      <c r="BT10" s="62"/>
      <c r="BU10" s="62"/>
      <c r="BV10" s="63"/>
      <c r="BW10" s="61"/>
      <c r="BX10" s="62"/>
      <c r="BY10" s="62"/>
      <c r="BZ10" s="62"/>
      <c r="CA10" s="62"/>
      <c r="CB10" s="221"/>
    </row>
    <row r="11" spans="1:80" s="29" customFormat="1" ht="20.100000000000001" customHeight="1">
      <c r="A11" s="19">
        <v>6</v>
      </c>
      <c r="B11" s="19">
        <f ca="1">getIndentLevel($E$11)</f>
        <v>2</v>
      </c>
      <c r="C11" s="19"/>
      <c r="D11" s="83">
        <f>ROW()-5</f>
        <v>6</v>
      </c>
      <c r="E11" s="143" t="s">
        <v>88</v>
      </c>
      <c r="F11" s="24">
        <v>44091</v>
      </c>
      <c r="G11" s="87">
        <v>44098</v>
      </c>
      <c r="H11" s="140" t="s">
        <v>39</v>
      </c>
      <c r="I11" s="24"/>
      <c r="J11" s="87"/>
      <c r="K11" s="27"/>
      <c r="L11" s="88"/>
      <c r="M11" s="121"/>
      <c r="N11" s="86"/>
      <c r="O11" s="110">
        <v>7</v>
      </c>
      <c r="P11" s="90" t="s">
        <v>254</v>
      </c>
      <c r="Q11" s="32">
        <f>6</f>
        <v>6</v>
      </c>
      <c r="R11" s="89">
        <f>3</f>
        <v>3</v>
      </c>
      <c r="S11" s="33">
        <v>0</v>
      </c>
      <c r="T11" s="46"/>
      <c r="U11" s="85"/>
      <c r="V11" s="62"/>
      <c r="W11" s="62"/>
      <c r="X11" s="62"/>
      <c r="Y11" s="63"/>
      <c r="Z11" s="61"/>
      <c r="AA11" s="62"/>
      <c r="AB11" s="62"/>
      <c r="AC11" s="62"/>
      <c r="AD11" s="62"/>
      <c r="AE11" s="62"/>
      <c r="AF11" s="63"/>
      <c r="AG11" s="61"/>
      <c r="AH11" s="62"/>
      <c r="AI11" s="62"/>
      <c r="AJ11" s="62"/>
      <c r="AK11" s="62"/>
      <c r="AL11" s="62"/>
      <c r="AM11" s="63"/>
      <c r="AN11" s="61"/>
      <c r="AO11" s="61"/>
      <c r="AP11" s="61"/>
      <c r="AQ11" s="62"/>
      <c r="AR11" s="62"/>
      <c r="AS11" s="62"/>
      <c r="AT11" s="63"/>
      <c r="AU11" s="61"/>
      <c r="AV11" s="62"/>
      <c r="AW11" s="62"/>
      <c r="AX11" s="62"/>
      <c r="AY11" s="64"/>
      <c r="AZ11" s="62"/>
      <c r="BA11" s="63"/>
      <c r="BB11" s="61"/>
      <c r="BC11" s="62"/>
      <c r="BD11" s="62"/>
      <c r="BE11" s="62"/>
      <c r="BF11" s="62"/>
      <c r="BG11" s="62"/>
      <c r="BH11" s="63"/>
      <c r="BI11" s="61"/>
      <c r="BJ11" s="61"/>
      <c r="BK11" s="62"/>
      <c r="BL11" s="62"/>
      <c r="BM11" s="62"/>
      <c r="BN11" s="62"/>
      <c r="BO11" s="63"/>
      <c r="BP11" s="61"/>
      <c r="BQ11" s="62"/>
      <c r="BR11" s="62"/>
      <c r="BS11" s="62"/>
      <c r="BT11" s="62"/>
      <c r="BU11" s="62"/>
      <c r="BV11" s="63"/>
      <c r="BW11" s="61"/>
      <c r="BX11" s="62"/>
      <c r="BY11" s="62"/>
      <c r="BZ11" s="62"/>
      <c r="CA11" s="62"/>
      <c r="CB11" s="221"/>
    </row>
    <row r="12" spans="1:80" s="29" customFormat="1" ht="20.100000000000001" customHeight="1">
      <c r="A12" s="19">
        <v>7</v>
      </c>
      <c r="B12" s="19">
        <f ca="1">getIndentLevel($E$12)</f>
        <v>3</v>
      </c>
      <c r="C12" s="19"/>
      <c r="D12" s="83">
        <f>ROW()-5</f>
        <v>7</v>
      </c>
      <c r="E12" s="144" t="s">
        <v>174</v>
      </c>
      <c r="F12" s="24">
        <v>44091</v>
      </c>
      <c r="G12" s="87">
        <v>44092</v>
      </c>
      <c r="H12" s="140" t="s">
        <v>39</v>
      </c>
      <c r="I12" s="24"/>
      <c r="J12" s="87"/>
      <c r="K12" s="27"/>
      <c r="L12" s="88"/>
      <c r="M12" s="121"/>
      <c r="N12" s="86"/>
      <c r="O12" s="110">
        <v>11</v>
      </c>
      <c r="P12" s="90" t="s">
        <v>255</v>
      </c>
      <c r="Q12" s="32">
        <f>2</f>
        <v>2</v>
      </c>
      <c r="R12" s="89">
        <f>8</f>
        <v>8</v>
      </c>
      <c r="S12" s="33">
        <v>0</v>
      </c>
      <c r="T12" s="46"/>
      <c r="U12" s="85"/>
      <c r="V12" s="62"/>
      <c r="W12" s="62"/>
      <c r="X12" s="62"/>
      <c r="Y12" s="63"/>
      <c r="Z12" s="61"/>
      <c r="AA12" s="62"/>
      <c r="AB12" s="62"/>
      <c r="AC12" s="62"/>
      <c r="AD12" s="62"/>
      <c r="AE12" s="62"/>
      <c r="AF12" s="63"/>
      <c r="AG12" s="61"/>
      <c r="AH12" s="62"/>
      <c r="AI12" s="62"/>
      <c r="AJ12" s="62"/>
      <c r="AK12" s="62"/>
      <c r="AL12" s="62"/>
      <c r="AM12" s="63"/>
      <c r="AN12" s="61"/>
      <c r="AO12" s="61"/>
      <c r="AP12" s="61"/>
      <c r="AQ12" s="62"/>
      <c r="AR12" s="62"/>
      <c r="AS12" s="62"/>
      <c r="AT12" s="63"/>
      <c r="AU12" s="61"/>
      <c r="AV12" s="62"/>
      <c r="AW12" s="62"/>
      <c r="AX12" s="62"/>
      <c r="AY12" s="64"/>
      <c r="AZ12" s="62"/>
      <c r="BA12" s="63"/>
      <c r="BB12" s="61"/>
      <c r="BC12" s="62"/>
      <c r="BD12" s="62"/>
      <c r="BE12" s="62"/>
      <c r="BF12" s="62"/>
      <c r="BG12" s="62"/>
      <c r="BH12" s="63"/>
      <c r="BI12" s="61"/>
      <c r="BJ12" s="61"/>
      <c r="BK12" s="62"/>
      <c r="BL12" s="62"/>
      <c r="BM12" s="62"/>
      <c r="BN12" s="62"/>
      <c r="BO12" s="63"/>
      <c r="BP12" s="61"/>
      <c r="BQ12" s="62"/>
      <c r="BR12" s="62"/>
      <c r="BS12" s="62"/>
      <c r="BT12" s="62"/>
      <c r="BU12" s="62"/>
      <c r="BV12" s="63"/>
      <c r="BW12" s="61"/>
      <c r="BX12" s="62"/>
      <c r="BY12" s="62"/>
      <c r="BZ12" s="62"/>
      <c r="CA12" s="62"/>
      <c r="CB12" s="221"/>
    </row>
    <row r="13" spans="1:80" s="29" customFormat="1" ht="20.100000000000001" customHeight="1">
      <c r="A13" s="19">
        <v>10</v>
      </c>
      <c r="B13" s="19">
        <f ca="1">getIndentLevel($E$13)</f>
        <v>4</v>
      </c>
      <c r="C13" s="19" t="s">
        <v>251</v>
      </c>
      <c r="D13" s="83">
        <f>ROW()-5</f>
        <v>8</v>
      </c>
      <c r="E13" s="145" t="s">
        <v>262</v>
      </c>
      <c r="F13" s="24">
        <v>44091</v>
      </c>
      <c r="G13" s="87">
        <v>44092</v>
      </c>
      <c r="H13" s="140" t="s">
        <v>208</v>
      </c>
      <c r="I13" s="24"/>
      <c r="J13" s="87"/>
      <c r="K13" s="27"/>
      <c r="L13" s="88">
        <f>0</f>
        <v>0</v>
      </c>
      <c r="M13" s="121" t="s">
        <v>252</v>
      </c>
      <c r="N13" s="86"/>
      <c r="O13" s="110">
        <v>12</v>
      </c>
      <c r="P13" s="90"/>
      <c r="Q13" s="32">
        <f>2</f>
        <v>2</v>
      </c>
      <c r="R13" s="89"/>
      <c r="S13" s="33">
        <v>0</v>
      </c>
      <c r="T13" s="46"/>
      <c r="U13" s="85"/>
      <c r="V13" s="62"/>
      <c r="W13" s="62"/>
      <c r="X13" s="62"/>
      <c r="Y13" s="63"/>
      <c r="Z13" s="61"/>
      <c r="AA13" s="62"/>
      <c r="AB13" s="62"/>
      <c r="AC13" s="62"/>
      <c r="AD13" s="62"/>
      <c r="AE13" s="62"/>
      <c r="AF13" s="63"/>
      <c r="AG13" s="61"/>
      <c r="AH13" s="62"/>
      <c r="AI13" s="62"/>
      <c r="AJ13" s="62"/>
      <c r="AK13" s="62"/>
      <c r="AL13" s="62"/>
      <c r="AM13" s="63"/>
      <c r="AN13" s="61"/>
      <c r="AO13" s="61"/>
      <c r="AP13" s="61"/>
      <c r="AQ13" s="62"/>
      <c r="AR13" s="62"/>
      <c r="AS13" s="62"/>
      <c r="AT13" s="63"/>
      <c r="AU13" s="61"/>
      <c r="AV13" s="62"/>
      <c r="AW13" s="62"/>
      <c r="AX13" s="62"/>
      <c r="AY13" s="64"/>
      <c r="AZ13" s="62"/>
      <c r="BA13" s="63"/>
      <c r="BB13" s="61"/>
      <c r="BC13" s="62"/>
      <c r="BD13" s="62"/>
      <c r="BE13" s="62"/>
      <c r="BF13" s="62"/>
      <c r="BG13" s="62"/>
      <c r="BH13" s="63"/>
      <c r="BI13" s="61"/>
      <c r="BJ13" s="61"/>
      <c r="BK13" s="62"/>
      <c r="BL13" s="62"/>
      <c r="BM13" s="62"/>
      <c r="BN13" s="62"/>
      <c r="BO13" s="63"/>
      <c r="BP13" s="61"/>
      <c r="BQ13" s="62"/>
      <c r="BR13" s="62"/>
      <c r="BS13" s="62"/>
      <c r="BT13" s="62"/>
      <c r="BU13" s="62"/>
      <c r="BV13" s="63"/>
      <c r="BW13" s="61"/>
      <c r="BX13" s="62"/>
      <c r="BY13" s="62"/>
      <c r="BZ13" s="62"/>
      <c r="CA13" s="62"/>
      <c r="CB13" s="221"/>
    </row>
    <row r="14" spans="1:80" s="29" customFormat="1" ht="20.100000000000001" hidden="1" customHeight="1">
      <c r="A14" s="19">
        <v>10</v>
      </c>
      <c r="B14" s="19">
        <v>4</v>
      </c>
      <c r="C14" s="19" t="s">
        <v>249</v>
      </c>
      <c r="D14" s="83">
        <f>ROW()-5</f>
        <v>9</v>
      </c>
      <c r="E14" s="145" t="str">
        <f>E13</f>
        <v>ランディングページ_A、B、外A</v>
      </c>
      <c r="F14" s="24">
        <v>44091</v>
      </c>
      <c r="G14" s="87">
        <v>44091</v>
      </c>
      <c r="H14" s="140" t="s">
        <v>145</v>
      </c>
      <c r="I14" s="24"/>
      <c r="J14" s="87"/>
      <c r="K14" s="27"/>
      <c r="L14" s="88"/>
      <c r="M14" s="121">
        <v>10</v>
      </c>
      <c r="N14" s="86"/>
      <c r="O14" s="110">
        <v>12</v>
      </c>
      <c r="P14" s="90"/>
      <c r="Q14" s="32"/>
      <c r="R14" s="89"/>
      <c r="S14" s="33"/>
      <c r="T14" s="46"/>
      <c r="U14" s="85"/>
      <c r="V14" s="62"/>
      <c r="W14" s="62"/>
      <c r="X14" s="62"/>
      <c r="Y14" s="63"/>
      <c r="Z14" s="61"/>
      <c r="AA14" s="62"/>
      <c r="AB14" s="62"/>
      <c r="AC14" s="62"/>
      <c r="AD14" s="62"/>
      <c r="AE14" s="62"/>
      <c r="AF14" s="63"/>
      <c r="AG14" s="61"/>
      <c r="AH14" s="62"/>
      <c r="AI14" s="62"/>
      <c r="AJ14" s="62"/>
      <c r="AK14" s="62"/>
      <c r="AL14" s="62"/>
      <c r="AM14" s="63"/>
      <c r="AN14" s="61"/>
      <c r="AO14" s="61"/>
      <c r="AP14" s="61"/>
      <c r="AQ14" s="62"/>
      <c r="AR14" s="62"/>
      <c r="AS14" s="62"/>
      <c r="AT14" s="63"/>
      <c r="AU14" s="61"/>
      <c r="AV14" s="62"/>
      <c r="AW14" s="62"/>
      <c r="AX14" s="62"/>
      <c r="AY14" s="64"/>
      <c r="AZ14" s="62"/>
      <c r="BA14" s="63"/>
      <c r="BB14" s="61"/>
      <c r="BC14" s="62"/>
      <c r="BD14" s="62"/>
      <c r="BE14" s="62"/>
      <c r="BF14" s="62"/>
      <c r="BG14" s="62"/>
      <c r="BH14" s="63"/>
      <c r="BI14" s="61"/>
      <c r="BJ14" s="61"/>
      <c r="BK14" s="62"/>
      <c r="BL14" s="62"/>
      <c r="BM14" s="62"/>
      <c r="BN14" s="62"/>
      <c r="BO14" s="63"/>
      <c r="BP14" s="61"/>
      <c r="BQ14" s="62"/>
      <c r="BR14" s="62"/>
      <c r="BS14" s="62"/>
      <c r="BT14" s="62"/>
      <c r="BU14" s="62"/>
      <c r="BV14" s="63"/>
      <c r="BW14" s="61"/>
      <c r="BX14" s="62"/>
      <c r="BY14" s="62"/>
      <c r="BZ14" s="62"/>
      <c r="CA14" s="62"/>
      <c r="CB14" s="221"/>
    </row>
    <row r="15" spans="1:80" s="29" customFormat="1" ht="20.100000000000001" hidden="1" customHeight="1">
      <c r="A15" s="19">
        <v>10</v>
      </c>
      <c r="B15" s="19">
        <v>4</v>
      </c>
      <c r="C15" s="19" t="s">
        <v>249</v>
      </c>
      <c r="D15" s="83">
        <f>ROW()-5</f>
        <v>10</v>
      </c>
      <c r="E15" s="145" t="str">
        <f>E13</f>
        <v>ランディングページ_A、B、外A</v>
      </c>
      <c r="F15" s="24">
        <f>F13</f>
        <v>44091</v>
      </c>
      <c r="G15" s="87">
        <f>G13</f>
        <v>44092</v>
      </c>
      <c r="H15" s="140" t="s">
        <v>146</v>
      </c>
      <c r="I15" s="24"/>
      <c r="J15" s="87"/>
      <c r="K15" s="27"/>
      <c r="L15" s="88"/>
      <c r="M15" s="121">
        <v>10</v>
      </c>
      <c r="N15" s="86"/>
      <c r="O15" s="110">
        <v>12</v>
      </c>
      <c r="P15" s="90"/>
      <c r="Q15" s="32"/>
      <c r="R15" s="89"/>
      <c r="S15" s="33"/>
      <c r="T15" s="46"/>
      <c r="U15" s="85"/>
      <c r="V15" s="62"/>
      <c r="W15" s="62"/>
      <c r="X15" s="62"/>
      <c r="Y15" s="63"/>
      <c r="Z15" s="61"/>
      <c r="AA15" s="62"/>
      <c r="AB15" s="62"/>
      <c r="AC15" s="62"/>
      <c r="AD15" s="62"/>
      <c r="AE15" s="62"/>
      <c r="AF15" s="63"/>
      <c r="AG15" s="61"/>
      <c r="AH15" s="62"/>
      <c r="AI15" s="62"/>
      <c r="AJ15" s="62"/>
      <c r="AK15" s="62"/>
      <c r="AL15" s="62"/>
      <c r="AM15" s="63"/>
      <c r="AN15" s="61"/>
      <c r="AO15" s="61"/>
      <c r="AP15" s="61"/>
      <c r="AQ15" s="62"/>
      <c r="AR15" s="62"/>
      <c r="AS15" s="62"/>
      <c r="AT15" s="63"/>
      <c r="AU15" s="61"/>
      <c r="AV15" s="62"/>
      <c r="AW15" s="62"/>
      <c r="AX15" s="62"/>
      <c r="AY15" s="64"/>
      <c r="AZ15" s="62"/>
      <c r="BA15" s="63"/>
      <c r="BB15" s="61"/>
      <c r="BC15" s="62"/>
      <c r="BD15" s="62"/>
      <c r="BE15" s="62"/>
      <c r="BF15" s="62"/>
      <c r="BG15" s="62"/>
      <c r="BH15" s="63"/>
      <c r="BI15" s="61"/>
      <c r="BJ15" s="61"/>
      <c r="BK15" s="62"/>
      <c r="BL15" s="62"/>
      <c r="BM15" s="62"/>
      <c r="BN15" s="62"/>
      <c r="BO15" s="63"/>
      <c r="BP15" s="61"/>
      <c r="BQ15" s="62"/>
      <c r="BR15" s="62"/>
      <c r="BS15" s="62"/>
      <c r="BT15" s="62"/>
      <c r="BU15" s="62"/>
      <c r="BV15" s="63"/>
      <c r="BW15" s="61"/>
      <c r="BX15" s="62"/>
      <c r="BY15" s="62"/>
      <c r="BZ15" s="62"/>
      <c r="CA15" s="62"/>
      <c r="CB15" s="221"/>
    </row>
    <row r="16" spans="1:80" s="29" customFormat="1" ht="20.100000000000001" hidden="1" customHeight="1">
      <c r="A16" s="19">
        <v>10</v>
      </c>
      <c r="B16" s="19">
        <v>4</v>
      </c>
      <c r="C16" s="19" t="s">
        <v>249</v>
      </c>
      <c r="D16" s="83">
        <f>ROW()-5</f>
        <v>11</v>
      </c>
      <c r="E16" s="145" t="str">
        <f>E13</f>
        <v>ランディングページ_A、B、外A</v>
      </c>
      <c r="F16" s="24">
        <f>F13</f>
        <v>44091</v>
      </c>
      <c r="G16" s="87">
        <f>G13</f>
        <v>44092</v>
      </c>
      <c r="H16" s="140" t="s">
        <v>157</v>
      </c>
      <c r="I16" s="24"/>
      <c r="J16" s="87"/>
      <c r="K16" s="27"/>
      <c r="L16" s="88"/>
      <c r="M16" s="121">
        <v>80</v>
      </c>
      <c r="N16" s="86"/>
      <c r="O16" s="110">
        <v>12</v>
      </c>
      <c r="P16" s="90"/>
      <c r="Q16" s="32"/>
      <c r="R16" s="89"/>
      <c r="S16" s="33"/>
      <c r="T16" s="46"/>
      <c r="U16" s="85"/>
      <c r="V16" s="62"/>
      <c r="W16" s="62"/>
      <c r="X16" s="62"/>
      <c r="Y16" s="63"/>
      <c r="Z16" s="61"/>
      <c r="AA16" s="62"/>
      <c r="AB16" s="62"/>
      <c r="AC16" s="62"/>
      <c r="AD16" s="62"/>
      <c r="AE16" s="62"/>
      <c r="AF16" s="63"/>
      <c r="AG16" s="61"/>
      <c r="AH16" s="62"/>
      <c r="AI16" s="62"/>
      <c r="AJ16" s="62"/>
      <c r="AK16" s="62"/>
      <c r="AL16" s="62"/>
      <c r="AM16" s="63"/>
      <c r="AN16" s="61"/>
      <c r="AO16" s="61"/>
      <c r="AP16" s="61"/>
      <c r="AQ16" s="62"/>
      <c r="AR16" s="62"/>
      <c r="AS16" s="62"/>
      <c r="AT16" s="63"/>
      <c r="AU16" s="61"/>
      <c r="AV16" s="62"/>
      <c r="AW16" s="62"/>
      <c r="AX16" s="62"/>
      <c r="AY16" s="64"/>
      <c r="AZ16" s="62"/>
      <c r="BA16" s="63"/>
      <c r="BB16" s="61"/>
      <c r="BC16" s="62"/>
      <c r="BD16" s="62"/>
      <c r="BE16" s="62"/>
      <c r="BF16" s="62"/>
      <c r="BG16" s="62"/>
      <c r="BH16" s="63"/>
      <c r="BI16" s="61"/>
      <c r="BJ16" s="61"/>
      <c r="BK16" s="62"/>
      <c r="BL16" s="62"/>
      <c r="BM16" s="62"/>
      <c r="BN16" s="62"/>
      <c r="BO16" s="63"/>
      <c r="BP16" s="61"/>
      <c r="BQ16" s="62"/>
      <c r="BR16" s="62"/>
      <c r="BS16" s="62"/>
      <c r="BT16" s="62"/>
      <c r="BU16" s="62"/>
      <c r="BV16" s="63"/>
      <c r="BW16" s="61"/>
      <c r="BX16" s="62"/>
      <c r="BY16" s="62"/>
      <c r="BZ16" s="62"/>
      <c r="CA16" s="62"/>
      <c r="CB16" s="221"/>
    </row>
    <row r="17" spans="1:80" s="29" customFormat="1" ht="20.100000000000001" customHeight="1">
      <c r="A17" s="19">
        <v>11</v>
      </c>
      <c r="B17" s="19">
        <f ca="1">getIndentLevel($E$17)</f>
        <v>3</v>
      </c>
      <c r="C17" s="19"/>
      <c r="D17" s="83">
        <f>ROW()-5</f>
        <v>12</v>
      </c>
      <c r="E17" s="144" t="s">
        <v>215</v>
      </c>
      <c r="F17" s="24">
        <v>44097</v>
      </c>
      <c r="G17" s="87">
        <v>44098</v>
      </c>
      <c r="H17" s="140" t="s">
        <v>39</v>
      </c>
      <c r="I17" s="24"/>
      <c r="J17" s="87"/>
      <c r="K17" s="27"/>
      <c r="L17" s="88"/>
      <c r="M17" s="121"/>
      <c r="N17" s="86"/>
      <c r="O17" s="110">
        <v>12</v>
      </c>
      <c r="P17" s="90" t="s">
        <v>250</v>
      </c>
      <c r="Q17" s="32">
        <f>2</f>
        <v>2</v>
      </c>
      <c r="R17" s="89">
        <f>12</f>
        <v>12</v>
      </c>
      <c r="S17" s="33">
        <v>0</v>
      </c>
      <c r="T17" s="46"/>
      <c r="U17" s="85"/>
      <c r="V17" s="62"/>
      <c r="W17" s="62"/>
      <c r="X17" s="62"/>
      <c r="Y17" s="63"/>
      <c r="Z17" s="61"/>
      <c r="AA17" s="62"/>
      <c r="AB17" s="62"/>
      <c r="AC17" s="62"/>
      <c r="AD17" s="62"/>
      <c r="AE17" s="62"/>
      <c r="AF17" s="63"/>
      <c r="AG17" s="61"/>
      <c r="AH17" s="62"/>
      <c r="AI17" s="62"/>
      <c r="AJ17" s="62"/>
      <c r="AK17" s="62"/>
      <c r="AL17" s="62"/>
      <c r="AM17" s="63"/>
      <c r="AN17" s="61"/>
      <c r="AO17" s="61"/>
      <c r="AP17" s="61"/>
      <c r="AQ17" s="62"/>
      <c r="AR17" s="62"/>
      <c r="AS17" s="62"/>
      <c r="AT17" s="63"/>
      <c r="AU17" s="61"/>
      <c r="AV17" s="62"/>
      <c r="AW17" s="62"/>
      <c r="AX17" s="62"/>
      <c r="AY17" s="64"/>
      <c r="AZ17" s="62"/>
      <c r="BA17" s="63"/>
      <c r="BB17" s="61"/>
      <c r="BC17" s="62"/>
      <c r="BD17" s="62"/>
      <c r="BE17" s="62"/>
      <c r="BF17" s="62"/>
      <c r="BG17" s="62"/>
      <c r="BH17" s="63"/>
      <c r="BI17" s="61"/>
      <c r="BJ17" s="61"/>
      <c r="BK17" s="62"/>
      <c r="BL17" s="62"/>
      <c r="BM17" s="62"/>
      <c r="BN17" s="62"/>
      <c r="BO17" s="63"/>
      <c r="BP17" s="61"/>
      <c r="BQ17" s="62"/>
      <c r="BR17" s="62"/>
      <c r="BS17" s="62"/>
      <c r="BT17" s="62"/>
      <c r="BU17" s="62"/>
      <c r="BV17" s="63"/>
      <c r="BW17" s="61"/>
      <c r="BX17" s="62"/>
      <c r="BY17" s="62"/>
      <c r="BZ17" s="62"/>
      <c r="CA17" s="62"/>
      <c r="CB17" s="221"/>
    </row>
    <row r="18" spans="1:80" s="29" customFormat="1" ht="20.100000000000001" customHeight="1">
      <c r="A18" s="19">
        <v>14</v>
      </c>
      <c r="B18" s="19">
        <f ca="1">getIndentLevel($E$18)</f>
        <v>4</v>
      </c>
      <c r="C18" s="19" t="s">
        <v>251</v>
      </c>
      <c r="D18" s="83">
        <f>ROW()-5</f>
        <v>13</v>
      </c>
      <c r="E18" s="145" t="s">
        <v>263</v>
      </c>
      <c r="F18" s="24">
        <v>44097</v>
      </c>
      <c r="G18" s="87">
        <v>44098</v>
      </c>
      <c r="H18" s="140" t="s">
        <v>264</v>
      </c>
      <c r="I18" s="24"/>
      <c r="J18" s="87"/>
      <c r="K18" s="27"/>
      <c r="L18" s="88">
        <f>0</f>
        <v>0</v>
      </c>
      <c r="M18" s="121" t="s">
        <v>265</v>
      </c>
      <c r="N18" s="86"/>
      <c r="O18" s="110">
        <v>17</v>
      </c>
      <c r="P18" s="90"/>
      <c r="Q18" s="32">
        <f>2</f>
        <v>2</v>
      </c>
      <c r="R18" s="89"/>
      <c r="S18" s="33">
        <v>0</v>
      </c>
      <c r="T18" s="46"/>
      <c r="U18" s="85"/>
      <c r="V18" s="62"/>
      <c r="W18" s="62"/>
      <c r="X18" s="62"/>
      <c r="Y18" s="63"/>
      <c r="Z18" s="61"/>
      <c r="AA18" s="62"/>
      <c r="AB18" s="62"/>
      <c r="AC18" s="62"/>
      <c r="AD18" s="62"/>
      <c r="AE18" s="62"/>
      <c r="AF18" s="63"/>
      <c r="AG18" s="61"/>
      <c r="AH18" s="62"/>
      <c r="AI18" s="62"/>
      <c r="AJ18" s="62"/>
      <c r="AK18" s="62"/>
      <c r="AL18" s="62"/>
      <c r="AM18" s="63"/>
      <c r="AN18" s="61"/>
      <c r="AO18" s="61"/>
      <c r="AP18" s="61"/>
      <c r="AQ18" s="62"/>
      <c r="AR18" s="62"/>
      <c r="AS18" s="62"/>
      <c r="AT18" s="63"/>
      <c r="AU18" s="61"/>
      <c r="AV18" s="62"/>
      <c r="AW18" s="62"/>
      <c r="AX18" s="62"/>
      <c r="AY18" s="64"/>
      <c r="AZ18" s="62"/>
      <c r="BA18" s="63"/>
      <c r="BB18" s="61"/>
      <c r="BC18" s="62"/>
      <c r="BD18" s="62"/>
      <c r="BE18" s="62"/>
      <c r="BF18" s="62"/>
      <c r="BG18" s="62"/>
      <c r="BH18" s="63"/>
      <c r="BI18" s="61"/>
      <c r="BJ18" s="61"/>
      <c r="BK18" s="62"/>
      <c r="BL18" s="62"/>
      <c r="BM18" s="62"/>
      <c r="BN18" s="62"/>
      <c r="BO18" s="63"/>
      <c r="BP18" s="61"/>
      <c r="BQ18" s="62"/>
      <c r="BR18" s="62"/>
      <c r="BS18" s="62"/>
      <c r="BT18" s="62"/>
      <c r="BU18" s="62"/>
      <c r="BV18" s="63"/>
      <c r="BW18" s="61"/>
      <c r="BX18" s="62"/>
      <c r="BY18" s="62"/>
      <c r="BZ18" s="62"/>
      <c r="CA18" s="62"/>
      <c r="CB18" s="221"/>
    </row>
    <row r="19" spans="1:80" s="29" customFormat="1" ht="20.100000000000001" hidden="1" customHeight="1">
      <c r="A19" s="19">
        <v>14</v>
      </c>
      <c r="B19" s="19">
        <v>4</v>
      </c>
      <c r="C19" s="19" t="s">
        <v>249</v>
      </c>
      <c r="D19" s="83">
        <f>ROW()-5</f>
        <v>14</v>
      </c>
      <c r="E19" s="145" t="str">
        <f>E18</f>
        <v>ランディングページ_A、C</v>
      </c>
      <c r="F19" s="24">
        <f>F18</f>
        <v>44097</v>
      </c>
      <c r="G19" s="87">
        <f>G18</f>
        <v>44098</v>
      </c>
      <c r="H19" s="140" t="s">
        <v>145</v>
      </c>
      <c r="I19" s="24"/>
      <c r="J19" s="87"/>
      <c r="K19" s="27"/>
      <c r="L19" s="88"/>
      <c r="M19" s="121"/>
      <c r="N19" s="86"/>
      <c r="O19" s="110">
        <v>17</v>
      </c>
      <c r="P19" s="90"/>
      <c r="Q19" s="32"/>
      <c r="R19" s="89"/>
      <c r="S19" s="33"/>
      <c r="T19" s="46"/>
      <c r="U19" s="85"/>
      <c r="V19" s="62"/>
      <c r="W19" s="62"/>
      <c r="X19" s="62"/>
      <c r="Y19" s="63"/>
      <c r="Z19" s="61"/>
      <c r="AA19" s="62"/>
      <c r="AB19" s="62"/>
      <c r="AC19" s="62"/>
      <c r="AD19" s="62"/>
      <c r="AE19" s="62"/>
      <c r="AF19" s="63"/>
      <c r="AG19" s="61"/>
      <c r="AH19" s="62"/>
      <c r="AI19" s="62"/>
      <c r="AJ19" s="62"/>
      <c r="AK19" s="62"/>
      <c r="AL19" s="62"/>
      <c r="AM19" s="63"/>
      <c r="AN19" s="61"/>
      <c r="AO19" s="61"/>
      <c r="AP19" s="61"/>
      <c r="AQ19" s="62"/>
      <c r="AR19" s="62"/>
      <c r="AS19" s="62"/>
      <c r="AT19" s="63"/>
      <c r="AU19" s="61"/>
      <c r="AV19" s="62"/>
      <c r="AW19" s="62"/>
      <c r="AX19" s="62"/>
      <c r="AY19" s="64"/>
      <c r="AZ19" s="62"/>
      <c r="BA19" s="63"/>
      <c r="BB19" s="61"/>
      <c r="BC19" s="62"/>
      <c r="BD19" s="62"/>
      <c r="BE19" s="62"/>
      <c r="BF19" s="62"/>
      <c r="BG19" s="62"/>
      <c r="BH19" s="63"/>
      <c r="BI19" s="61"/>
      <c r="BJ19" s="61"/>
      <c r="BK19" s="62"/>
      <c r="BL19" s="62"/>
      <c r="BM19" s="62"/>
      <c r="BN19" s="62"/>
      <c r="BO19" s="63"/>
      <c r="BP19" s="61"/>
      <c r="BQ19" s="62"/>
      <c r="BR19" s="62"/>
      <c r="BS19" s="62"/>
      <c r="BT19" s="62"/>
      <c r="BU19" s="62"/>
      <c r="BV19" s="63"/>
      <c r="BW19" s="61"/>
      <c r="BX19" s="62"/>
      <c r="BY19" s="62"/>
      <c r="BZ19" s="62"/>
      <c r="CA19" s="62"/>
      <c r="CB19" s="221"/>
    </row>
    <row r="20" spans="1:80" s="29" customFormat="1" ht="20.100000000000001" hidden="1" customHeight="1">
      <c r="A20" s="19">
        <v>14</v>
      </c>
      <c r="B20" s="19">
        <v>4</v>
      </c>
      <c r="C20" s="19" t="s">
        <v>249</v>
      </c>
      <c r="D20" s="83">
        <f>ROW()-5</f>
        <v>15</v>
      </c>
      <c r="E20" s="145" t="str">
        <f>E18</f>
        <v>ランディングページ_A、C</v>
      </c>
      <c r="F20" s="24">
        <f>F18</f>
        <v>44097</v>
      </c>
      <c r="G20" s="87">
        <f>G18</f>
        <v>44098</v>
      </c>
      <c r="H20" s="140" t="s">
        <v>147</v>
      </c>
      <c r="I20" s="24"/>
      <c r="J20" s="87"/>
      <c r="K20" s="27"/>
      <c r="L20" s="88"/>
      <c r="M20" s="121"/>
      <c r="N20" s="86"/>
      <c r="O20" s="110">
        <v>17</v>
      </c>
      <c r="P20" s="90"/>
      <c r="Q20" s="32"/>
      <c r="R20" s="89"/>
      <c r="S20" s="33"/>
      <c r="T20" s="46"/>
      <c r="U20" s="85"/>
      <c r="V20" s="62"/>
      <c r="W20" s="62"/>
      <c r="X20" s="62"/>
      <c r="Y20" s="63"/>
      <c r="Z20" s="61"/>
      <c r="AA20" s="62"/>
      <c r="AB20" s="62"/>
      <c r="AC20" s="62"/>
      <c r="AD20" s="62"/>
      <c r="AE20" s="62"/>
      <c r="AF20" s="63"/>
      <c r="AG20" s="61"/>
      <c r="AH20" s="62"/>
      <c r="AI20" s="62"/>
      <c r="AJ20" s="62"/>
      <c r="AK20" s="62"/>
      <c r="AL20" s="62"/>
      <c r="AM20" s="63"/>
      <c r="AN20" s="61"/>
      <c r="AO20" s="61"/>
      <c r="AP20" s="61"/>
      <c r="AQ20" s="62"/>
      <c r="AR20" s="62"/>
      <c r="AS20" s="62"/>
      <c r="AT20" s="63"/>
      <c r="AU20" s="61"/>
      <c r="AV20" s="62"/>
      <c r="AW20" s="62"/>
      <c r="AX20" s="62"/>
      <c r="AY20" s="64"/>
      <c r="AZ20" s="62"/>
      <c r="BA20" s="63"/>
      <c r="BB20" s="61"/>
      <c r="BC20" s="62"/>
      <c r="BD20" s="62"/>
      <c r="BE20" s="62"/>
      <c r="BF20" s="62"/>
      <c r="BG20" s="62"/>
      <c r="BH20" s="63"/>
      <c r="BI20" s="61"/>
      <c r="BJ20" s="61"/>
      <c r="BK20" s="62"/>
      <c r="BL20" s="62"/>
      <c r="BM20" s="62"/>
      <c r="BN20" s="62"/>
      <c r="BO20" s="63"/>
      <c r="BP20" s="61"/>
      <c r="BQ20" s="62"/>
      <c r="BR20" s="62"/>
      <c r="BS20" s="62"/>
      <c r="BT20" s="62"/>
      <c r="BU20" s="62"/>
      <c r="BV20" s="63"/>
      <c r="BW20" s="61"/>
      <c r="BX20" s="62"/>
      <c r="BY20" s="62"/>
      <c r="BZ20" s="62"/>
      <c r="CA20" s="62"/>
      <c r="CB20" s="221"/>
    </row>
  </sheetData>
  <sheetProtection formatColumns="0" formatRows="0" autoFilter="0"/>
  <dataConsolidate/>
  <mergeCells count="13">
    <mergeCell ref="AY3:CB3"/>
    <mergeCell ref="U3:AW3"/>
    <mergeCell ref="A5:E5"/>
    <mergeCell ref="S2:S3"/>
    <mergeCell ref="T2:T3"/>
    <mergeCell ref="A2:A3"/>
    <mergeCell ref="B2:B3"/>
    <mergeCell ref="E2:E3"/>
    <mergeCell ref="N2:N3"/>
    <mergeCell ref="C2:C3"/>
    <mergeCell ref="H2:H3"/>
    <mergeCell ref="M2:M3"/>
    <mergeCell ref="D2:D3"/>
  </mergeCells>
  <phoneticPr fontId="9"/>
  <dataValidations count="8">
    <dataValidation imeMode="disabled" allowBlank="1" showInputMessage="1" showErrorMessage="1" sqref="B2:B3"/>
    <dataValidation imeMode="on" allowBlank="1" showInputMessage="1" showErrorMessage="1" sqref="E1:E4 F6:G16 F18:G20"/>
    <dataValidation imeMode="off" allowBlank="1" showInputMessage="1" showErrorMessage="1" sqref="F4 I4:T4"/>
    <dataValidation type="list" allowBlank="1" showDropDown="1" showInputMessage="1" showErrorMessage="1" sqref="G4">
      <formula1>担当者</formula1>
    </dataValidation>
    <dataValidation imeMode="on" allowBlank="1" showDropDown="1" showInputMessage="1" showErrorMessage="1" sqref="D4"/>
    <dataValidation type="list" allowBlank="1" showInputMessage="1" showErrorMessage="1" sqref="H4">
      <formula1>担当者</formula1>
    </dataValidation>
    <dataValidation type="list" allowBlank="1" showInputMessage="1" sqref="H6:H20">
      <formula1>担当者</formula1>
    </dataValidation>
    <dataValidation imeMode="on" allowBlank="1" showDropDown="1" showInputMessage="1" showErrorMessage="1" sqref="E6:E20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85" zoomScaleNormal="85" workbookViewId="0">
      <pane xSplit="1" ySplit="5" topLeftCell="B6" activePane="bottomRight" state="frozen"/>
      <selection pane="topRight" activeCell="M1" sqref="M1"/>
      <selection pane="bottomLeft" activeCell="A6" sqref="A6"/>
      <selection pane="bottomRight" activeCell="A6" sqref="A6:T19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5" customWidth="1"/>
    <col min="8" max="8" width="10.625" style="21" customWidth="1"/>
    <col min="9" max="10" width="6.625" style="25" customWidth="1"/>
    <col min="11" max="12" width="6.625" style="26" customWidth="1"/>
    <col min="13" max="14" width="10.625" style="68" customWidth="1"/>
    <col min="15" max="15" width="8.625" style="21" customWidth="1"/>
    <col min="16" max="16" width="8.625" style="93" customWidth="1"/>
    <col min="17" max="18" width="7.625" style="44" customWidth="1"/>
    <col min="19" max="19" width="10.625" style="45" customWidth="1"/>
    <col min="20" max="20" width="40.625" style="20" customWidth="1"/>
    <col min="21" max="16384" width="3.125" style="18"/>
  </cols>
  <sheetData>
    <row r="1" spans="1:20" ht="20.100000000000001" customHeight="1">
      <c r="A1" s="65"/>
      <c r="B1" s="34"/>
      <c r="C1" s="34"/>
      <c r="D1" s="34"/>
      <c r="E1" s="34"/>
      <c r="F1" s="23"/>
      <c r="G1" s="66"/>
      <c r="H1" s="34"/>
      <c r="I1" s="66"/>
      <c r="J1" s="66"/>
      <c r="K1" s="67"/>
      <c r="L1" s="69"/>
      <c r="M1" s="82"/>
      <c r="N1" s="82"/>
      <c r="O1" s="34"/>
      <c r="P1" s="92"/>
      <c r="Q1" s="37"/>
      <c r="R1" s="37"/>
      <c r="S1" s="39"/>
      <c r="T1" s="43"/>
    </row>
    <row r="2" spans="1:20" ht="20.100000000000001" customHeight="1">
      <c r="A2" s="213" t="s">
        <v>56</v>
      </c>
      <c r="B2" s="213" t="s">
        <v>0</v>
      </c>
      <c r="C2" s="215" t="s">
        <v>120</v>
      </c>
      <c r="D2" s="215" t="s">
        <v>242</v>
      </c>
      <c r="E2" s="214" t="s">
        <v>55</v>
      </c>
      <c r="F2" s="94" t="s">
        <v>2</v>
      </c>
      <c r="G2" s="95"/>
      <c r="H2" s="216" t="s">
        <v>1</v>
      </c>
      <c r="I2" s="94" t="s">
        <v>28</v>
      </c>
      <c r="J2" s="95"/>
      <c r="K2" s="96" t="s">
        <v>35</v>
      </c>
      <c r="L2" s="97"/>
      <c r="M2" s="214" t="s">
        <v>204</v>
      </c>
      <c r="N2" s="214" t="s">
        <v>109</v>
      </c>
      <c r="O2" s="108" t="s">
        <v>122</v>
      </c>
      <c r="P2" s="99"/>
      <c r="Q2" s="98" t="s">
        <v>29</v>
      </c>
      <c r="R2" s="100"/>
      <c r="S2" s="209" t="s">
        <v>40</v>
      </c>
      <c r="T2" s="211" t="s">
        <v>30</v>
      </c>
    </row>
    <row r="3" spans="1:20" s="28" customFormat="1" ht="20.100000000000001" customHeight="1">
      <c r="A3" s="213"/>
      <c r="B3" s="213"/>
      <c r="C3" s="215"/>
      <c r="D3" s="215"/>
      <c r="E3" s="214"/>
      <c r="F3" s="101" t="s">
        <v>3</v>
      </c>
      <c r="G3" s="102" t="s">
        <v>4</v>
      </c>
      <c r="H3" s="217"/>
      <c r="I3" s="101" t="s">
        <v>31</v>
      </c>
      <c r="J3" s="102" t="s">
        <v>32</v>
      </c>
      <c r="K3" s="103" t="s">
        <v>36</v>
      </c>
      <c r="L3" s="104" t="s">
        <v>37</v>
      </c>
      <c r="M3" s="214"/>
      <c r="N3" s="214"/>
      <c r="O3" s="109" t="s">
        <v>123</v>
      </c>
      <c r="P3" s="106" t="s">
        <v>124</v>
      </c>
      <c r="Q3" s="105" t="s">
        <v>33</v>
      </c>
      <c r="R3" s="107" t="s">
        <v>34</v>
      </c>
      <c r="S3" s="210"/>
      <c r="T3" s="212"/>
    </row>
    <row r="4" spans="1:20" s="29" customFormat="1" ht="20.100000000000001" customHeight="1">
      <c r="A4" s="19"/>
      <c r="B4" s="19"/>
      <c r="C4" s="83"/>
      <c r="D4" s="83"/>
      <c r="E4" s="139"/>
      <c r="F4" s="24"/>
      <c r="G4" s="87"/>
      <c r="H4" s="140"/>
      <c r="I4" s="24"/>
      <c r="J4" s="87"/>
      <c r="K4" s="27"/>
      <c r="L4" s="88"/>
      <c r="M4" s="121"/>
      <c r="N4" s="86"/>
      <c r="O4" s="110"/>
      <c r="P4" s="90"/>
      <c r="Q4" s="32"/>
      <c r="R4" s="89"/>
      <c r="S4" s="33"/>
      <c r="T4" s="46"/>
    </row>
    <row r="5" spans="1:20" ht="35.1" customHeight="1">
      <c r="A5" s="207" t="s">
        <v>25</v>
      </c>
      <c r="B5" s="207"/>
      <c r="C5" s="207"/>
      <c r="D5" s="208"/>
      <c r="E5" s="208"/>
      <c r="F5" s="36"/>
      <c r="G5" s="36"/>
      <c r="H5" s="36"/>
      <c r="I5" s="36"/>
      <c r="J5" s="36"/>
      <c r="K5" s="141"/>
      <c r="L5" s="141">
        <v>0</v>
      </c>
      <c r="M5" s="36"/>
      <c r="N5" s="36"/>
      <c r="O5" s="36"/>
      <c r="P5" s="91"/>
      <c r="Q5" s="38"/>
      <c r="R5" s="38"/>
      <c r="S5" s="142">
        <v>-7</v>
      </c>
      <c r="T5" s="36"/>
    </row>
    <row r="6" spans="1:20" s="29" customFormat="1" ht="20.100000000000001" customHeight="1">
      <c r="A6" s="19">
        <v>1</v>
      </c>
      <c r="B6" s="19">
        <f ca="1">getIndentLevel($E$6)</f>
        <v>1</v>
      </c>
      <c r="C6" s="83"/>
      <c r="D6" s="19">
        <f t="shared" ref="D6:D19" si="0">ROW()-5</f>
        <v>1</v>
      </c>
      <c r="E6" s="139" t="s">
        <v>91</v>
      </c>
      <c r="F6" s="24">
        <v>44076</v>
      </c>
      <c r="G6" s="87">
        <v>44098</v>
      </c>
      <c r="H6" s="140" t="s">
        <v>39</v>
      </c>
      <c r="I6" s="24"/>
      <c r="J6" s="87"/>
      <c r="K6" s="27"/>
      <c r="L6" s="88"/>
      <c r="M6" s="121"/>
      <c r="N6" s="86"/>
      <c r="O6" s="110"/>
      <c r="P6" s="90" t="s">
        <v>216</v>
      </c>
      <c r="Q6" s="32">
        <f>17</f>
        <v>17</v>
      </c>
      <c r="R6" s="89">
        <f>4</f>
        <v>4</v>
      </c>
      <c r="S6" s="33">
        <v>-7</v>
      </c>
      <c r="T6" s="46"/>
    </row>
    <row r="7" spans="1:20" s="29" customFormat="1" ht="20.100000000000001" customHeight="1">
      <c r="A7" s="19">
        <v>2</v>
      </c>
      <c r="B7" s="19">
        <f ca="1">getIndentLevel($E$7)</f>
        <v>2</v>
      </c>
      <c r="C7" s="83"/>
      <c r="D7" s="19">
        <f t="shared" si="0"/>
        <v>2</v>
      </c>
      <c r="E7" s="143" t="s">
        <v>92</v>
      </c>
      <c r="F7" s="24">
        <v>44076</v>
      </c>
      <c r="G7" s="87">
        <v>44083</v>
      </c>
      <c r="H7" s="140" t="s">
        <v>39</v>
      </c>
      <c r="I7" s="24"/>
      <c r="J7" s="87"/>
      <c r="K7" s="27"/>
      <c r="L7" s="88"/>
      <c r="M7" s="121"/>
      <c r="N7" s="86"/>
      <c r="O7" s="110">
        <v>6</v>
      </c>
      <c r="P7" s="90" t="s">
        <v>125</v>
      </c>
      <c r="Q7" s="32">
        <f>6</f>
        <v>6</v>
      </c>
      <c r="R7" s="89">
        <f>4</f>
        <v>4</v>
      </c>
      <c r="S7" s="33">
        <v>-7</v>
      </c>
      <c r="T7" s="46"/>
    </row>
    <row r="8" spans="1:20" s="29" customFormat="1" ht="20.100000000000001" customHeight="1">
      <c r="A8" s="19">
        <v>3</v>
      </c>
      <c r="B8" s="19">
        <f ca="1">getIndentLevel($E$8)</f>
        <v>3</v>
      </c>
      <c r="C8" s="83"/>
      <c r="D8" s="19">
        <f t="shared" si="0"/>
        <v>3</v>
      </c>
      <c r="E8" s="144" t="s">
        <v>186</v>
      </c>
      <c r="F8" s="24">
        <v>44076</v>
      </c>
      <c r="G8" s="87">
        <v>44077</v>
      </c>
      <c r="H8" s="140" t="s">
        <v>145</v>
      </c>
      <c r="I8" s="24"/>
      <c r="J8" s="87"/>
      <c r="K8" s="27"/>
      <c r="L8" s="88">
        <f>0</f>
        <v>0</v>
      </c>
      <c r="M8" s="121"/>
      <c r="N8" s="86"/>
      <c r="O8" s="110">
        <v>7</v>
      </c>
      <c r="P8" s="90"/>
      <c r="Q8" s="32">
        <f>2</f>
        <v>2</v>
      </c>
      <c r="R8" s="89">
        <f>4</f>
        <v>4</v>
      </c>
      <c r="S8" s="33">
        <v>-4</v>
      </c>
      <c r="T8" s="46"/>
    </row>
    <row r="9" spans="1:20" s="29" customFormat="1" ht="20.100000000000001" customHeight="1">
      <c r="A9" s="19">
        <v>4</v>
      </c>
      <c r="B9" s="19">
        <f ca="1">getIndentLevel($E$9)</f>
        <v>3</v>
      </c>
      <c r="C9" s="83"/>
      <c r="D9" s="19">
        <f t="shared" si="0"/>
        <v>4</v>
      </c>
      <c r="E9" s="144" t="s">
        <v>187</v>
      </c>
      <c r="F9" s="24">
        <v>44078</v>
      </c>
      <c r="G9" s="87">
        <v>44081</v>
      </c>
      <c r="H9" s="140" t="s">
        <v>149</v>
      </c>
      <c r="I9" s="24"/>
      <c r="J9" s="87"/>
      <c r="K9" s="27"/>
      <c r="L9" s="88">
        <f>0</f>
        <v>0</v>
      </c>
      <c r="M9" s="121"/>
      <c r="N9" s="86"/>
      <c r="O9" s="110">
        <v>7</v>
      </c>
      <c r="P9" s="90"/>
      <c r="Q9" s="32">
        <f>2</f>
        <v>2</v>
      </c>
      <c r="R9" s="89">
        <f>2</f>
        <v>2</v>
      </c>
      <c r="S9" s="33">
        <v>-2</v>
      </c>
      <c r="T9" s="46"/>
    </row>
    <row r="10" spans="1:20" s="29" customFormat="1" ht="20.100000000000001" customHeight="1">
      <c r="A10" s="19">
        <v>5</v>
      </c>
      <c r="B10" s="19">
        <f ca="1">getIndentLevel($E$10)</f>
        <v>3</v>
      </c>
      <c r="C10" s="83"/>
      <c r="D10" s="19">
        <f t="shared" si="0"/>
        <v>5</v>
      </c>
      <c r="E10" s="144" t="s">
        <v>188</v>
      </c>
      <c r="F10" s="24">
        <v>44081</v>
      </c>
      <c r="G10" s="87">
        <v>44083</v>
      </c>
      <c r="H10" s="140" t="s">
        <v>153</v>
      </c>
      <c r="I10" s="24"/>
      <c r="J10" s="87"/>
      <c r="K10" s="27"/>
      <c r="L10" s="88">
        <f>0</f>
        <v>0</v>
      </c>
      <c r="M10" s="121"/>
      <c r="N10" s="86"/>
      <c r="O10" s="110">
        <v>7</v>
      </c>
      <c r="P10" s="90"/>
      <c r="Q10" s="32">
        <f>3</f>
        <v>3</v>
      </c>
      <c r="R10" s="89">
        <f>1</f>
        <v>1</v>
      </c>
      <c r="S10" s="33">
        <v>-1</v>
      </c>
      <c r="T10" s="46"/>
    </row>
    <row r="11" spans="1:20" ht="20.100000000000001" customHeight="1">
      <c r="A11" s="19">
        <v>6</v>
      </c>
      <c r="B11" s="19">
        <f ca="1">getIndentLevel($E$11)</f>
        <v>2</v>
      </c>
      <c r="C11" s="83"/>
      <c r="D11" s="19">
        <f t="shared" si="0"/>
        <v>6</v>
      </c>
      <c r="E11" s="143" t="s">
        <v>88</v>
      </c>
      <c r="F11" s="24">
        <v>44084</v>
      </c>
      <c r="G11" s="87">
        <v>44098</v>
      </c>
      <c r="H11" s="140" t="s">
        <v>39</v>
      </c>
      <c r="I11" s="24"/>
      <c r="J11" s="87"/>
      <c r="K11" s="27"/>
      <c r="L11" s="88"/>
      <c r="M11" s="121"/>
      <c r="N11" s="86"/>
      <c r="O11" s="110">
        <v>7</v>
      </c>
      <c r="P11" s="90" t="s">
        <v>217</v>
      </c>
      <c r="Q11" s="32">
        <f>11</f>
        <v>11</v>
      </c>
      <c r="R11" s="89">
        <f>4</f>
        <v>4</v>
      </c>
      <c r="S11" s="33">
        <v>0</v>
      </c>
      <c r="T11" s="46"/>
    </row>
    <row r="12" spans="1:20" s="29" customFormat="1" ht="20.100000000000001" customHeight="1">
      <c r="A12" s="19">
        <v>7</v>
      </c>
      <c r="B12" s="19">
        <f ca="1">getIndentLevel($E$12)</f>
        <v>3</v>
      </c>
      <c r="C12" s="83"/>
      <c r="D12" s="19">
        <f t="shared" si="0"/>
        <v>7</v>
      </c>
      <c r="E12" s="144" t="s">
        <v>174</v>
      </c>
      <c r="F12" s="24">
        <v>44084</v>
      </c>
      <c r="G12" s="87">
        <v>44092</v>
      </c>
      <c r="H12" s="140" t="s">
        <v>39</v>
      </c>
      <c r="I12" s="24"/>
      <c r="J12" s="87"/>
      <c r="K12" s="27"/>
      <c r="L12" s="88"/>
      <c r="M12" s="121"/>
      <c r="N12" s="86"/>
      <c r="O12" s="110">
        <v>11</v>
      </c>
      <c r="P12" s="90" t="s">
        <v>184</v>
      </c>
      <c r="Q12" s="32">
        <f>7</f>
        <v>7</v>
      </c>
      <c r="R12" s="89">
        <f>4</f>
        <v>4</v>
      </c>
      <c r="S12" s="33">
        <v>0</v>
      </c>
      <c r="T12" s="46"/>
    </row>
    <row r="13" spans="1:20" s="29" customFormat="1" ht="20.100000000000001" customHeight="1">
      <c r="A13" s="19">
        <v>8</v>
      </c>
      <c r="B13" s="19">
        <f ca="1">getIndentLevel($E$13)</f>
        <v>4</v>
      </c>
      <c r="C13" s="83"/>
      <c r="D13" s="19">
        <f t="shared" si="0"/>
        <v>8</v>
      </c>
      <c r="E13" s="145" t="s">
        <v>219</v>
      </c>
      <c r="F13" s="24">
        <v>44084</v>
      </c>
      <c r="G13" s="87">
        <v>44088</v>
      </c>
      <c r="H13" s="140" t="s">
        <v>208</v>
      </c>
      <c r="I13" s="24"/>
      <c r="J13" s="87"/>
      <c r="K13" s="27"/>
      <c r="L13" s="88">
        <f>0</f>
        <v>0</v>
      </c>
      <c r="M13" s="121" t="s">
        <v>209</v>
      </c>
      <c r="N13" s="86"/>
      <c r="O13" s="110">
        <v>12</v>
      </c>
      <c r="P13" s="90"/>
      <c r="Q13" s="32">
        <f>3</f>
        <v>3</v>
      </c>
      <c r="R13" s="89"/>
      <c r="S13" s="33">
        <v>0</v>
      </c>
      <c r="T13" s="46"/>
    </row>
    <row r="14" spans="1:20" s="29" customFormat="1" ht="20.100000000000001" customHeight="1">
      <c r="A14" s="19">
        <v>9</v>
      </c>
      <c r="B14" s="19">
        <f ca="1">getIndentLevel($E$14)</f>
        <v>4</v>
      </c>
      <c r="C14" s="83"/>
      <c r="D14" s="19">
        <f t="shared" si="0"/>
        <v>9</v>
      </c>
      <c r="E14" s="145" t="s">
        <v>213</v>
      </c>
      <c r="F14" s="24">
        <v>44088</v>
      </c>
      <c r="G14" s="87">
        <v>44090</v>
      </c>
      <c r="H14" s="140" t="s">
        <v>149</v>
      </c>
      <c r="I14" s="24"/>
      <c r="J14" s="87"/>
      <c r="K14" s="27"/>
      <c r="L14" s="88">
        <f>0</f>
        <v>0</v>
      </c>
      <c r="M14" s="121"/>
      <c r="N14" s="86"/>
      <c r="O14" s="110">
        <v>12</v>
      </c>
      <c r="P14" s="90"/>
      <c r="Q14" s="32">
        <f>3</f>
        <v>3</v>
      </c>
      <c r="R14" s="89"/>
      <c r="S14" s="33">
        <v>0</v>
      </c>
      <c r="T14" s="46"/>
    </row>
    <row r="15" spans="1:20" s="29" customFormat="1" ht="20.100000000000001" customHeight="1">
      <c r="A15" s="19">
        <v>10</v>
      </c>
      <c r="B15" s="19">
        <f ca="1">getIndentLevel($E$15)</f>
        <v>4</v>
      </c>
      <c r="C15" s="83"/>
      <c r="D15" s="19">
        <f t="shared" si="0"/>
        <v>10</v>
      </c>
      <c r="E15" s="145" t="s">
        <v>214</v>
      </c>
      <c r="F15" s="24">
        <v>44091</v>
      </c>
      <c r="G15" s="87">
        <v>44092</v>
      </c>
      <c r="H15" s="140" t="s">
        <v>153</v>
      </c>
      <c r="I15" s="24"/>
      <c r="J15" s="87"/>
      <c r="K15" s="27"/>
      <c r="L15" s="88">
        <f>0</f>
        <v>0</v>
      </c>
      <c r="M15" s="121"/>
      <c r="N15" s="86"/>
      <c r="O15" s="110">
        <v>12</v>
      </c>
      <c r="P15" s="90"/>
      <c r="Q15" s="32">
        <f>2</f>
        <v>2</v>
      </c>
      <c r="R15" s="89"/>
      <c r="S15" s="33">
        <v>0</v>
      </c>
      <c r="T15" s="46"/>
    </row>
    <row r="16" spans="1:20" s="29" customFormat="1" ht="20.100000000000001" customHeight="1">
      <c r="A16" s="19">
        <v>11</v>
      </c>
      <c r="B16" s="19">
        <f ca="1">getIndentLevel($E$16)</f>
        <v>3</v>
      </c>
      <c r="C16" s="83"/>
      <c r="D16" s="19">
        <f t="shared" si="0"/>
        <v>11</v>
      </c>
      <c r="E16" s="144" t="s">
        <v>215</v>
      </c>
      <c r="F16" s="24">
        <v>44089</v>
      </c>
      <c r="G16" s="87">
        <v>44098</v>
      </c>
      <c r="H16" s="140" t="s">
        <v>39</v>
      </c>
      <c r="I16" s="24"/>
      <c r="J16" s="87"/>
      <c r="K16" s="27"/>
      <c r="L16" s="88"/>
      <c r="M16" s="121"/>
      <c r="N16" s="86"/>
      <c r="O16" s="110">
        <v>12</v>
      </c>
      <c r="P16" s="90" t="s">
        <v>218</v>
      </c>
      <c r="Q16" s="32">
        <f>8</f>
        <v>8</v>
      </c>
      <c r="R16" s="89">
        <f>7</f>
        <v>7</v>
      </c>
      <c r="S16" s="33">
        <v>0</v>
      </c>
      <c r="T16" s="46"/>
    </row>
    <row r="17" spans="1:20" s="29" customFormat="1" ht="20.100000000000001" customHeight="1">
      <c r="A17" s="19">
        <v>12</v>
      </c>
      <c r="B17" s="19">
        <f ca="1">getIndentLevel($E$17)</f>
        <v>4</v>
      </c>
      <c r="C17" s="83"/>
      <c r="D17" s="19">
        <f t="shared" si="0"/>
        <v>12</v>
      </c>
      <c r="E17" s="145" t="s">
        <v>212</v>
      </c>
      <c r="F17" s="24">
        <v>44089</v>
      </c>
      <c r="G17" s="87">
        <v>44092</v>
      </c>
      <c r="H17" s="140" t="s">
        <v>210</v>
      </c>
      <c r="I17" s="24"/>
      <c r="J17" s="87"/>
      <c r="K17" s="27"/>
      <c r="L17" s="88">
        <f>0</f>
        <v>0</v>
      </c>
      <c r="M17" s="121" t="s">
        <v>211</v>
      </c>
      <c r="N17" s="86"/>
      <c r="O17" s="110">
        <v>16</v>
      </c>
      <c r="P17" s="90"/>
      <c r="Q17" s="32">
        <f>4</f>
        <v>4</v>
      </c>
      <c r="R17" s="89"/>
      <c r="S17" s="33">
        <v>0</v>
      </c>
      <c r="T17" s="46"/>
    </row>
    <row r="18" spans="1:20" s="29" customFormat="1" ht="20.100000000000001" customHeight="1">
      <c r="A18" s="19">
        <v>13</v>
      </c>
      <c r="B18" s="19">
        <f ca="1">getIndentLevel($E$18)</f>
        <v>4</v>
      </c>
      <c r="C18" s="83"/>
      <c r="D18" s="19">
        <f t="shared" si="0"/>
        <v>13</v>
      </c>
      <c r="E18" s="145" t="s">
        <v>213</v>
      </c>
      <c r="F18" s="24">
        <v>44091</v>
      </c>
      <c r="G18" s="87">
        <v>44097</v>
      </c>
      <c r="H18" s="140" t="s">
        <v>149</v>
      </c>
      <c r="I18" s="24"/>
      <c r="J18" s="87"/>
      <c r="K18" s="27"/>
      <c r="L18" s="88">
        <f>0</f>
        <v>0</v>
      </c>
      <c r="M18" s="121"/>
      <c r="N18" s="86"/>
      <c r="O18" s="110">
        <v>16</v>
      </c>
      <c r="P18" s="90"/>
      <c r="Q18" s="32">
        <f>5</f>
        <v>5</v>
      </c>
      <c r="R18" s="89"/>
      <c r="S18" s="33">
        <v>0</v>
      </c>
      <c r="T18" s="46"/>
    </row>
    <row r="19" spans="1:20" s="29" customFormat="1" ht="20.100000000000001" customHeight="1">
      <c r="A19" s="19">
        <v>14</v>
      </c>
      <c r="B19" s="19">
        <f ca="1">getIndentLevel($E$19)</f>
        <v>4</v>
      </c>
      <c r="C19" s="83"/>
      <c r="D19" s="19">
        <f t="shared" si="0"/>
        <v>14</v>
      </c>
      <c r="E19" s="145" t="s">
        <v>214</v>
      </c>
      <c r="F19" s="24">
        <v>44097</v>
      </c>
      <c r="G19" s="87">
        <v>44098</v>
      </c>
      <c r="H19" s="140"/>
      <c r="I19" s="24"/>
      <c r="J19" s="87"/>
      <c r="K19" s="27"/>
      <c r="L19" s="88">
        <f>0</f>
        <v>0</v>
      </c>
      <c r="M19" s="121"/>
      <c r="N19" s="86"/>
      <c r="O19" s="110">
        <v>16</v>
      </c>
      <c r="P19" s="90"/>
      <c r="Q19" s="32">
        <f>2</f>
        <v>2</v>
      </c>
      <c r="R19" s="89"/>
      <c r="S19" s="33">
        <v>0</v>
      </c>
      <c r="T19" s="46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5">
    <dataValidation type="list" allowBlank="1" showInputMessage="1" showErrorMessage="1" sqref="H4 H6:H19">
      <formula1>担当者</formula1>
    </dataValidation>
    <dataValidation imeMode="off" allowBlank="1" showInputMessage="1" showErrorMessage="1" sqref="F4:G4 I4:T4 C4"/>
    <dataValidation imeMode="on" allowBlank="1" showInputMessage="1" showErrorMessage="1" sqref="E6:E19 E1:E4 F6:G15 F17:G19"/>
    <dataValidation imeMode="disabled" allowBlank="1" showInputMessage="1" showErrorMessage="1" sqref="B2:B3"/>
    <dataValidation imeMode="on" allowBlank="1" showDropDown="1" showInputMessage="1" showErrorMessage="1" sqref="D4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B12"/>
  <sheetViews>
    <sheetView showGridLines="0" zoomScale="85" zoomScaleNormal="85" workbookViewId="0">
      <pane xSplit="20" ySplit="4" topLeftCell="AE5" activePane="bottomRight" state="frozen"/>
      <selection pane="topRight" activeCell="U1" sqref="U1"/>
      <selection pane="bottomLeft" activeCell="A5" sqref="A5"/>
      <selection pane="bottomRight" activeCell="G21" sqref="G21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10.625" style="20" customWidth="1"/>
    <col min="6" max="6" width="40.625" style="21" customWidth="1"/>
    <col min="7" max="10" width="6.625" style="25" customWidth="1"/>
    <col min="11" max="12" width="6.625" style="26" customWidth="1"/>
    <col min="13" max="14" width="10.625" style="68" customWidth="1"/>
    <col min="15" max="15" width="8.625" style="21" customWidth="1"/>
    <col min="16" max="16" width="8.625" style="93" customWidth="1"/>
    <col min="17" max="18" width="7.625" style="44" customWidth="1"/>
    <col min="19" max="19" width="10.625" style="45" customWidth="1"/>
    <col min="20" max="20" width="40.625" style="20" customWidth="1"/>
    <col min="21" max="21" width="3.125" style="18" customWidth="1"/>
    <col min="22" max="29" width="3.125" style="18"/>
    <col min="30" max="51" width="3.125" style="18" customWidth="1"/>
    <col min="52" max="59" width="3.125" style="18"/>
    <col min="60" max="80" width="3.125" style="18" customWidth="1"/>
    <col min="81" max="16384" width="3.125" style="18"/>
  </cols>
  <sheetData>
    <row r="1" spans="1:80" ht="20.100000000000001" customHeight="1">
      <c r="A1" s="65"/>
      <c r="B1" s="34"/>
      <c r="C1" s="34"/>
      <c r="D1" s="34"/>
      <c r="E1" s="34"/>
      <c r="F1" s="34"/>
      <c r="G1" s="23"/>
      <c r="H1" s="66"/>
      <c r="I1" s="66"/>
      <c r="J1" s="66"/>
      <c r="K1" s="67"/>
      <c r="L1" s="69"/>
      <c r="M1" s="82"/>
      <c r="N1" s="117"/>
      <c r="O1" s="84"/>
      <c r="P1" s="118"/>
      <c r="Q1" s="119"/>
      <c r="R1" s="191"/>
      <c r="S1" s="192"/>
      <c r="T1" s="222"/>
    </row>
    <row r="2" spans="1:80" ht="20.100000000000001" customHeight="1">
      <c r="A2" s="213" t="s">
        <v>56</v>
      </c>
      <c r="B2" s="213" t="s">
        <v>0</v>
      </c>
      <c r="C2" s="213" t="s">
        <v>120</v>
      </c>
      <c r="D2" s="213" t="s">
        <v>242</v>
      </c>
      <c r="E2" s="215" t="s">
        <v>1</v>
      </c>
      <c r="F2" s="214" t="s">
        <v>55</v>
      </c>
      <c r="G2" s="94" t="s">
        <v>2</v>
      </c>
      <c r="H2" s="120"/>
      <c r="I2" s="120" t="s">
        <v>28</v>
      </c>
      <c r="J2" s="120"/>
      <c r="K2" s="112" t="s">
        <v>35</v>
      </c>
      <c r="L2" s="112"/>
      <c r="M2" s="214" t="s">
        <v>204</v>
      </c>
      <c r="N2" s="216" t="s">
        <v>109</v>
      </c>
      <c r="O2" s="108" t="s">
        <v>171</v>
      </c>
      <c r="P2" s="122"/>
      <c r="Q2" s="98" t="s">
        <v>172</v>
      </c>
      <c r="R2" s="187"/>
      <c r="S2" s="227" t="s">
        <v>40</v>
      </c>
      <c r="T2" s="223" t="s">
        <v>30</v>
      </c>
    </row>
    <row r="3" spans="1:80" s="28" customFormat="1" ht="20.100000000000001" customHeight="1">
      <c r="A3" s="213"/>
      <c r="B3" s="213"/>
      <c r="C3" s="213"/>
      <c r="D3" s="213"/>
      <c r="E3" s="213"/>
      <c r="F3" s="218"/>
      <c r="G3" s="101" t="s">
        <v>31</v>
      </c>
      <c r="H3" s="102" t="s">
        <v>32</v>
      </c>
      <c r="I3" s="101" t="s">
        <v>31</v>
      </c>
      <c r="J3" s="102" t="s">
        <v>32</v>
      </c>
      <c r="K3" s="103" t="s">
        <v>36</v>
      </c>
      <c r="L3" s="104" t="s">
        <v>37</v>
      </c>
      <c r="M3" s="214"/>
      <c r="N3" s="214"/>
      <c r="O3" s="109" t="s">
        <v>123</v>
      </c>
      <c r="P3" s="106" t="s">
        <v>124</v>
      </c>
      <c r="Q3" s="105" t="s">
        <v>33</v>
      </c>
      <c r="R3" s="188" t="s">
        <v>34</v>
      </c>
      <c r="S3" s="228"/>
      <c r="T3" s="224"/>
      <c r="U3" s="206">
        <v>44075</v>
      </c>
      <c r="V3" s="205"/>
      <c r="W3" s="205"/>
      <c r="X3" s="205"/>
      <c r="Y3" s="205"/>
      <c r="Z3" s="205"/>
      <c r="AA3" s="205"/>
      <c r="AB3" s="205"/>
      <c r="AC3" s="205"/>
      <c r="AD3" s="205"/>
      <c r="AE3" s="205"/>
      <c r="AF3" s="205"/>
      <c r="AG3" s="205"/>
      <c r="AH3" s="205"/>
      <c r="AI3" s="205"/>
      <c r="AJ3" s="205"/>
      <c r="AK3" s="205"/>
      <c r="AL3" s="205"/>
      <c r="AM3" s="205"/>
      <c r="AN3" s="205"/>
      <c r="AO3" s="205"/>
      <c r="AP3" s="205"/>
      <c r="AQ3" s="205"/>
      <c r="AR3" s="205"/>
      <c r="AS3" s="205"/>
      <c r="AT3" s="205"/>
      <c r="AU3" s="205"/>
      <c r="AV3" s="205"/>
      <c r="AW3" s="205"/>
      <c r="AX3" s="196"/>
      <c r="AY3" s="204">
        <v>44105</v>
      </c>
      <c r="AZ3" s="205"/>
      <c r="BA3" s="205"/>
      <c r="BB3" s="205"/>
      <c r="BC3" s="205"/>
      <c r="BD3" s="205"/>
      <c r="BE3" s="205"/>
      <c r="BF3" s="205"/>
      <c r="BG3" s="205"/>
      <c r="BH3" s="205"/>
      <c r="BI3" s="205"/>
      <c r="BJ3" s="205"/>
      <c r="BK3" s="205"/>
      <c r="BL3" s="205"/>
      <c r="BM3" s="205"/>
      <c r="BN3" s="205"/>
      <c r="BO3" s="205"/>
      <c r="BP3" s="205"/>
      <c r="BQ3" s="205"/>
      <c r="BR3" s="205"/>
      <c r="BS3" s="205"/>
      <c r="BT3" s="205"/>
      <c r="BU3" s="205"/>
      <c r="BV3" s="205"/>
      <c r="BW3" s="205"/>
      <c r="BX3" s="205"/>
      <c r="BY3" s="205"/>
      <c r="BZ3" s="205"/>
      <c r="CA3" s="205"/>
      <c r="CB3" s="220"/>
    </row>
    <row r="4" spans="1:80" s="29" customFormat="1" ht="20.100000000000001" customHeight="1">
      <c r="A4" s="19"/>
      <c r="B4" s="19"/>
      <c r="C4" s="185"/>
      <c r="D4" s="19"/>
      <c r="E4" s="111"/>
      <c r="F4" s="121"/>
      <c r="G4" s="24"/>
      <c r="H4" s="87"/>
      <c r="I4" s="24"/>
      <c r="J4" s="87"/>
      <c r="K4" s="27"/>
      <c r="L4" s="88"/>
      <c r="M4" s="86"/>
      <c r="N4" s="113"/>
      <c r="O4" s="114"/>
      <c r="P4" s="115"/>
      <c r="Q4" s="116"/>
      <c r="R4" s="189"/>
      <c r="S4" s="229"/>
      <c r="T4" s="225"/>
      <c r="U4" s="85">
        <v>44075</v>
      </c>
      <c r="V4" s="62">
        <v>44076</v>
      </c>
      <c r="W4" s="62">
        <v>44077</v>
      </c>
      <c r="X4" s="62">
        <v>44078</v>
      </c>
      <c r="Y4" s="63">
        <v>44079</v>
      </c>
      <c r="Z4" s="61">
        <v>44080</v>
      </c>
      <c r="AA4" s="62">
        <v>44081</v>
      </c>
      <c r="AB4" s="62">
        <v>44082</v>
      </c>
      <c r="AC4" s="62">
        <v>44083</v>
      </c>
      <c r="AD4" s="62">
        <v>44084</v>
      </c>
      <c r="AE4" s="62">
        <v>44085</v>
      </c>
      <c r="AF4" s="63">
        <v>44086</v>
      </c>
      <c r="AG4" s="61">
        <v>44087</v>
      </c>
      <c r="AH4" s="62">
        <v>44088</v>
      </c>
      <c r="AI4" s="62">
        <v>44089</v>
      </c>
      <c r="AJ4" s="62">
        <v>44090</v>
      </c>
      <c r="AK4" s="62">
        <v>44091</v>
      </c>
      <c r="AL4" s="62">
        <v>44092</v>
      </c>
      <c r="AM4" s="63">
        <v>44093</v>
      </c>
      <c r="AN4" s="61">
        <v>44094</v>
      </c>
      <c r="AO4" s="61">
        <v>44095</v>
      </c>
      <c r="AP4" s="61">
        <v>44096</v>
      </c>
      <c r="AQ4" s="62">
        <v>44097</v>
      </c>
      <c r="AR4" s="62">
        <v>44098</v>
      </c>
      <c r="AS4" s="62">
        <v>44099</v>
      </c>
      <c r="AT4" s="63">
        <v>44100</v>
      </c>
      <c r="AU4" s="61">
        <v>44101</v>
      </c>
      <c r="AV4" s="62">
        <v>44102</v>
      </c>
      <c r="AW4" s="62">
        <v>44103</v>
      </c>
      <c r="AX4" s="62">
        <v>44104</v>
      </c>
      <c r="AY4" s="64">
        <v>44105</v>
      </c>
      <c r="AZ4" s="62">
        <v>44106</v>
      </c>
      <c r="BA4" s="63">
        <v>44107</v>
      </c>
      <c r="BB4" s="61">
        <v>44108</v>
      </c>
      <c r="BC4" s="62">
        <v>44109</v>
      </c>
      <c r="BD4" s="62">
        <v>44110</v>
      </c>
      <c r="BE4" s="62">
        <v>44111</v>
      </c>
      <c r="BF4" s="62">
        <v>44112</v>
      </c>
      <c r="BG4" s="62">
        <v>44113</v>
      </c>
      <c r="BH4" s="63">
        <v>44114</v>
      </c>
      <c r="BI4" s="61">
        <v>44115</v>
      </c>
      <c r="BJ4" s="61">
        <v>44116</v>
      </c>
      <c r="BK4" s="62">
        <v>44117</v>
      </c>
      <c r="BL4" s="62">
        <v>44118</v>
      </c>
      <c r="BM4" s="62">
        <v>44119</v>
      </c>
      <c r="BN4" s="62">
        <v>44120</v>
      </c>
      <c r="BO4" s="63">
        <v>44121</v>
      </c>
      <c r="BP4" s="61">
        <v>44122</v>
      </c>
      <c r="BQ4" s="62">
        <v>44123</v>
      </c>
      <c r="BR4" s="62">
        <v>44124</v>
      </c>
      <c r="BS4" s="62">
        <v>44125</v>
      </c>
      <c r="BT4" s="62">
        <v>44126</v>
      </c>
      <c r="BU4" s="62">
        <v>44127</v>
      </c>
      <c r="BV4" s="63">
        <v>44128</v>
      </c>
      <c r="BW4" s="61">
        <v>44129</v>
      </c>
      <c r="BX4" s="62">
        <v>44130</v>
      </c>
      <c r="BY4" s="62">
        <v>44131</v>
      </c>
      <c r="BZ4" s="62">
        <v>44132</v>
      </c>
      <c r="CA4" s="62">
        <v>44133</v>
      </c>
      <c r="CB4" s="221">
        <v>44134</v>
      </c>
    </row>
    <row r="5" spans="1:80" ht="35.1" customHeight="1">
      <c r="A5" s="123" t="s">
        <v>25</v>
      </c>
      <c r="B5" s="124"/>
      <c r="C5" s="124"/>
      <c r="D5" s="124"/>
      <c r="E5" s="124"/>
      <c r="F5" s="31"/>
      <c r="G5" s="36"/>
      <c r="H5" s="36"/>
      <c r="I5" s="36"/>
      <c r="J5" s="36"/>
      <c r="K5" s="42"/>
      <c r="L5" s="40"/>
      <c r="M5" s="31"/>
      <c r="N5" s="31"/>
      <c r="O5" s="31"/>
      <c r="P5" s="91"/>
      <c r="Q5" s="38"/>
      <c r="R5" s="190"/>
      <c r="S5" s="230"/>
      <c r="T5" s="226"/>
      <c r="U5" s="85"/>
      <c r="V5" s="62"/>
      <c r="W5" s="62"/>
      <c r="X5" s="62"/>
      <c r="Y5" s="63"/>
      <c r="Z5" s="61"/>
      <c r="AA5" s="62"/>
      <c r="AB5" s="62"/>
      <c r="AC5" s="62"/>
      <c r="AD5" s="62"/>
      <c r="AE5" s="62"/>
      <c r="AF5" s="63"/>
      <c r="AG5" s="61"/>
      <c r="AH5" s="62"/>
      <c r="AI5" s="62"/>
      <c r="AJ5" s="62"/>
      <c r="AK5" s="62"/>
      <c r="AL5" s="62"/>
      <c r="AM5" s="63"/>
      <c r="AN5" s="61"/>
      <c r="AO5" s="61"/>
      <c r="AP5" s="61"/>
      <c r="AQ5" s="62"/>
      <c r="AR5" s="62"/>
      <c r="AS5" s="62"/>
      <c r="AT5" s="63"/>
      <c r="AU5" s="61"/>
      <c r="AV5" s="62"/>
      <c r="AW5" s="62"/>
      <c r="AX5" s="62"/>
      <c r="AY5" s="64"/>
      <c r="AZ5" s="62"/>
      <c r="BA5" s="63"/>
      <c r="BB5" s="61"/>
      <c r="BC5" s="62"/>
      <c r="BD5" s="62"/>
      <c r="BE5" s="62"/>
      <c r="BF5" s="62"/>
      <c r="BG5" s="62"/>
      <c r="BH5" s="63"/>
      <c r="BI5" s="61"/>
      <c r="BJ5" s="61"/>
      <c r="BK5" s="62"/>
      <c r="BL5" s="62"/>
      <c r="BM5" s="62"/>
      <c r="BN5" s="62"/>
      <c r="BO5" s="63"/>
      <c r="BP5" s="61"/>
      <c r="BQ5" s="62"/>
      <c r="BR5" s="62"/>
      <c r="BS5" s="62"/>
      <c r="BT5" s="62"/>
      <c r="BU5" s="62"/>
      <c r="BV5" s="63"/>
      <c r="BW5" s="61"/>
      <c r="BX5" s="62"/>
      <c r="BY5" s="62"/>
      <c r="BZ5" s="62"/>
      <c r="CA5" s="62"/>
      <c r="CB5" s="221"/>
    </row>
    <row r="6" spans="1:80" s="29" customFormat="1" ht="20.100000000000001" customHeight="1">
      <c r="A6" s="185">
        <v>3</v>
      </c>
      <c r="B6" s="185">
        <v>1</v>
      </c>
      <c r="C6" s="185"/>
      <c r="D6" s="185">
        <v>3</v>
      </c>
      <c r="E6" s="246" t="s">
        <v>145</v>
      </c>
      <c r="F6" s="193" t="s">
        <v>256</v>
      </c>
      <c r="G6" s="24">
        <v>44076</v>
      </c>
      <c r="H6" s="243">
        <v>44076</v>
      </c>
      <c r="I6" s="24"/>
      <c r="J6" s="243"/>
      <c r="K6" s="27"/>
      <c r="L6" s="244">
        <v>0</v>
      </c>
      <c r="M6" s="186"/>
      <c r="N6" s="113"/>
      <c r="O6" s="114">
        <v>7</v>
      </c>
      <c r="P6" s="115"/>
      <c r="Q6" s="116">
        <v>1</v>
      </c>
      <c r="R6" s="245">
        <v>5</v>
      </c>
      <c r="S6" s="229">
        <v>-5</v>
      </c>
      <c r="T6" s="225"/>
      <c r="U6" s="85"/>
      <c r="V6" s="62"/>
      <c r="W6" s="62"/>
      <c r="X6" s="62"/>
      <c r="Y6" s="63"/>
      <c r="Z6" s="61"/>
      <c r="AA6" s="62"/>
      <c r="AB6" s="62"/>
      <c r="AC6" s="62"/>
      <c r="AD6" s="62"/>
      <c r="AE6" s="62"/>
      <c r="AF6" s="63"/>
      <c r="AG6" s="61"/>
      <c r="AH6" s="62"/>
      <c r="AI6" s="62"/>
      <c r="AJ6" s="62"/>
      <c r="AK6" s="62"/>
      <c r="AL6" s="62"/>
      <c r="AM6" s="63"/>
      <c r="AN6" s="61"/>
      <c r="AO6" s="61"/>
      <c r="AP6" s="61"/>
      <c r="AQ6" s="62"/>
      <c r="AR6" s="62"/>
      <c r="AS6" s="62"/>
      <c r="AT6" s="63"/>
      <c r="AU6" s="61"/>
      <c r="AV6" s="62"/>
      <c r="AW6" s="62"/>
      <c r="AX6" s="62"/>
      <c r="AY6" s="64"/>
      <c r="AZ6" s="62"/>
      <c r="BA6" s="63"/>
      <c r="BB6" s="61"/>
      <c r="BC6" s="62"/>
      <c r="BD6" s="62"/>
      <c r="BE6" s="62"/>
      <c r="BF6" s="62"/>
      <c r="BG6" s="62"/>
      <c r="BH6" s="63"/>
      <c r="BI6" s="61"/>
      <c r="BJ6" s="61"/>
      <c r="BK6" s="62"/>
      <c r="BL6" s="62"/>
      <c r="BM6" s="62"/>
      <c r="BN6" s="62"/>
      <c r="BO6" s="63"/>
      <c r="BP6" s="61"/>
      <c r="BQ6" s="62"/>
      <c r="BR6" s="62"/>
      <c r="BS6" s="62"/>
      <c r="BT6" s="62"/>
      <c r="BU6" s="62"/>
      <c r="BV6" s="63"/>
      <c r="BW6" s="61"/>
      <c r="BX6" s="62"/>
      <c r="BY6" s="62"/>
      <c r="BZ6" s="62"/>
      <c r="CA6" s="62"/>
      <c r="CB6" s="221"/>
    </row>
    <row r="7" spans="1:80" s="29" customFormat="1" ht="20.100000000000001" customHeight="1" thickBot="1">
      <c r="A7" s="125">
        <v>10</v>
      </c>
      <c r="B7" s="125">
        <v>1</v>
      </c>
      <c r="C7" s="125" t="s">
        <v>249</v>
      </c>
      <c r="D7" s="125">
        <v>9</v>
      </c>
      <c r="E7" s="219"/>
      <c r="F7" s="194" t="s">
        <v>257</v>
      </c>
      <c r="G7" s="126">
        <v>44091</v>
      </c>
      <c r="H7" s="231">
        <v>44091</v>
      </c>
      <c r="I7" s="126"/>
      <c r="J7" s="231"/>
      <c r="K7" s="127"/>
      <c r="L7" s="232"/>
      <c r="M7" s="162">
        <v>10</v>
      </c>
      <c r="N7" s="128"/>
      <c r="O7" s="129">
        <v>12</v>
      </c>
      <c r="P7" s="130"/>
      <c r="Q7" s="131"/>
      <c r="R7" s="233"/>
      <c r="S7" s="234"/>
      <c r="T7" s="235"/>
      <c r="U7" s="132"/>
      <c r="V7" s="133"/>
      <c r="W7" s="133"/>
      <c r="X7" s="133"/>
      <c r="Y7" s="134"/>
      <c r="Z7" s="135"/>
      <c r="AA7" s="133"/>
      <c r="AB7" s="133"/>
      <c r="AC7" s="133"/>
      <c r="AD7" s="133"/>
      <c r="AE7" s="133"/>
      <c r="AF7" s="134"/>
      <c r="AG7" s="135"/>
      <c r="AH7" s="133"/>
      <c r="AI7" s="133"/>
      <c r="AJ7" s="133"/>
      <c r="AK7" s="133"/>
      <c r="AL7" s="133"/>
      <c r="AM7" s="134"/>
      <c r="AN7" s="135"/>
      <c r="AO7" s="135"/>
      <c r="AP7" s="135"/>
      <c r="AQ7" s="133"/>
      <c r="AR7" s="133"/>
      <c r="AS7" s="133"/>
      <c r="AT7" s="134"/>
      <c r="AU7" s="135"/>
      <c r="AV7" s="133"/>
      <c r="AW7" s="133"/>
      <c r="AX7" s="133"/>
      <c r="AY7" s="136"/>
      <c r="AZ7" s="133"/>
      <c r="BA7" s="134"/>
      <c r="BB7" s="135"/>
      <c r="BC7" s="133"/>
      <c r="BD7" s="133"/>
      <c r="BE7" s="133"/>
      <c r="BF7" s="133"/>
      <c r="BG7" s="133"/>
      <c r="BH7" s="134"/>
      <c r="BI7" s="135"/>
      <c r="BJ7" s="135"/>
      <c r="BK7" s="133"/>
      <c r="BL7" s="133"/>
      <c r="BM7" s="133"/>
      <c r="BN7" s="133"/>
      <c r="BO7" s="134"/>
      <c r="BP7" s="135"/>
      <c r="BQ7" s="133"/>
      <c r="BR7" s="133"/>
      <c r="BS7" s="133"/>
      <c r="BT7" s="133"/>
      <c r="BU7" s="133"/>
      <c r="BV7" s="134"/>
      <c r="BW7" s="135"/>
      <c r="BX7" s="133"/>
      <c r="BY7" s="133"/>
      <c r="BZ7" s="133"/>
      <c r="CA7" s="133"/>
      <c r="CB7" s="236"/>
    </row>
    <row r="8" spans="1:80" s="29" customFormat="1" ht="20.100000000000001" customHeight="1" thickTop="1" thickBot="1">
      <c r="A8" s="149">
        <v>4</v>
      </c>
      <c r="B8" s="149">
        <v>1</v>
      </c>
      <c r="C8" s="149"/>
      <c r="D8" s="149">
        <v>4</v>
      </c>
      <c r="E8" s="150" t="s">
        <v>149</v>
      </c>
      <c r="F8" s="195" t="s">
        <v>258</v>
      </c>
      <c r="G8" s="151">
        <v>44078</v>
      </c>
      <c r="H8" s="237">
        <v>44081</v>
      </c>
      <c r="I8" s="151"/>
      <c r="J8" s="237"/>
      <c r="K8" s="152"/>
      <c r="L8" s="238">
        <v>0</v>
      </c>
      <c r="M8" s="163"/>
      <c r="N8" s="153"/>
      <c r="O8" s="154">
        <v>7</v>
      </c>
      <c r="P8" s="155"/>
      <c r="Q8" s="156">
        <v>2</v>
      </c>
      <c r="R8" s="239">
        <v>3</v>
      </c>
      <c r="S8" s="240">
        <v>-3</v>
      </c>
      <c r="T8" s="241"/>
      <c r="U8" s="157"/>
      <c r="V8" s="158"/>
      <c r="W8" s="158"/>
      <c r="X8" s="158"/>
      <c r="Y8" s="159"/>
      <c r="Z8" s="160"/>
      <c r="AA8" s="158"/>
      <c r="AB8" s="158"/>
      <c r="AC8" s="158"/>
      <c r="AD8" s="158"/>
      <c r="AE8" s="158"/>
      <c r="AF8" s="159"/>
      <c r="AG8" s="160"/>
      <c r="AH8" s="158"/>
      <c r="AI8" s="158"/>
      <c r="AJ8" s="158"/>
      <c r="AK8" s="158"/>
      <c r="AL8" s="158"/>
      <c r="AM8" s="159"/>
      <c r="AN8" s="160"/>
      <c r="AO8" s="160"/>
      <c r="AP8" s="160"/>
      <c r="AQ8" s="158"/>
      <c r="AR8" s="158"/>
      <c r="AS8" s="158"/>
      <c r="AT8" s="159"/>
      <c r="AU8" s="160"/>
      <c r="AV8" s="158"/>
      <c r="AW8" s="158"/>
      <c r="AX8" s="158"/>
      <c r="AY8" s="161"/>
      <c r="AZ8" s="158"/>
      <c r="BA8" s="159"/>
      <c r="BB8" s="160"/>
      <c r="BC8" s="158"/>
      <c r="BD8" s="158"/>
      <c r="BE8" s="158"/>
      <c r="BF8" s="158"/>
      <c r="BG8" s="158"/>
      <c r="BH8" s="159"/>
      <c r="BI8" s="160"/>
      <c r="BJ8" s="160"/>
      <c r="BK8" s="158"/>
      <c r="BL8" s="158"/>
      <c r="BM8" s="158"/>
      <c r="BN8" s="158"/>
      <c r="BO8" s="159"/>
      <c r="BP8" s="160"/>
      <c r="BQ8" s="158"/>
      <c r="BR8" s="158"/>
      <c r="BS8" s="158"/>
      <c r="BT8" s="158"/>
      <c r="BU8" s="158"/>
      <c r="BV8" s="159"/>
      <c r="BW8" s="160"/>
      <c r="BX8" s="158"/>
      <c r="BY8" s="158"/>
      <c r="BZ8" s="158"/>
      <c r="CA8" s="158"/>
      <c r="CB8" s="242"/>
    </row>
    <row r="9" spans="1:80" s="29" customFormat="1" ht="20.100000000000001" customHeight="1" thickTop="1" thickBot="1">
      <c r="A9" s="149">
        <v>5</v>
      </c>
      <c r="B9" s="149">
        <v>1</v>
      </c>
      <c r="C9" s="149"/>
      <c r="D9" s="149">
        <v>5</v>
      </c>
      <c r="E9" s="150" t="s">
        <v>153</v>
      </c>
      <c r="F9" s="195" t="s">
        <v>260</v>
      </c>
      <c r="G9" s="151">
        <v>44081</v>
      </c>
      <c r="H9" s="237">
        <v>44083</v>
      </c>
      <c r="I9" s="151"/>
      <c r="J9" s="237"/>
      <c r="K9" s="152"/>
      <c r="L9" s="238">
        <v>0</v>
      </c>
      <c r="M9" s="163"/>
      <c r="N9" s="153"/>
      <c r="O9" s="154">
        <v>7</v>
      </c>
      <c r="P9" s="155"/>
      <c r="Q9" s="156">
        <v>3</v>
      </c>
      <c r="R9" s="239">
        <v>2</v>
      </c>
      <c r="S9" s="240">
        <v>-2</v>
      </c>
      <c r="T9" s="241"/>
      <c r="U9" s="157"/>
      <c r="V9" s="158"/>
      <c r="W9" s="158"/>
      <c r="X9" s="158"/>
      <c r="Y9" s="159"/>
      <c r="Z9" s="160"/>
      <c r="AA9" s="158"/>
      <c r="AB9" s="158"/>
      <c r="AC9" s="158"/>
      <c r="AD9" s="158"/>
      <c r="AE9" s="158"/>
      <c r="AF9" s="159"/>
      <c r="AG9" s="160"/>
      <c r="AH9" s="158"/>
      <c r="AI9" s="158"/>
      <c r="AJ9" s="158"/>
      <c r="AK9" s="158"/>
      <c r="AL9" s="158"/>
      <c r="AM9" s="159"/>
      <c r="AN9" s="160"/>
      <c r="AO9" s="160"/>
      <c r="AP9" s="160"/>
      <c r="AQ9" s="158"/>
      <c r="AR9" s="158"/>
      <c r="AS9" s="158"/>
      <c r="AT9" s="159"/>
      <c r="AU9" s="160"/>
      <c r="AV9" s="158"/>
      <c r="AW9" s="158"/>
      <c r="AX9" s="158"/>
      <c r="AY9" s="161"/>
      <c r="AZ9" s="158"/>
      <c r="BA9" s="159"/>
      <c r="BB9" s="160"/>
      <c r="BC9" s="158"/>
      <c r="BD9" s="158"/>
      <c r="BE9" s="158"/>
      <c r="BF9" s="158"/>
      <c r="BG9" s="158"/>
      <c r="BH9" s="159"/>
      <c r="BI9" s="160"/>
      <c r="BJ9" s="160"/>
      <c r="BK9" s="158"/>
      <c r="BL9" s="158"/>
      <c r="BM9" s="158"/>
      <c r="BN9" s="158"/>
      <c r="BO9" s="159"/>
      <c r="BP9" s="160"/>
      <c r="BQ9" s="158"/>
      <c r="BR9" s="158"/>
      <c r="BS9" s="158"/>
      <c r="BT9" s="158"/>
      <c r="BU9" s="158"/>
      <c r="BV9" s="159"/>
      <c r="BW9" s="160"/>
      <c r="BX9" s="158"/>
      <c r="BY9" s="158"/>
      <c r="BZ9" s="158"/>
      <c r="CA9" s="158"/>
      <c r="CB9" s="242"/>
    </row>
    <row r="10" spans="1:80" s="29" customFormat="1" ht="20.100000000000001" customHeight="1" thickTop="1" thickBot="1">
      <c r="A10" s="149">
        <v>10</v>
      </c>
      <c r="B10" s="149">
        <v>1</v>
      </c>
      <c r="C10" s="149" t="s">
        <v>249</v>
      </c>
      <c r="D10" s="149">
        <v>10</v>
      </c>
      <c r="E10" s="150" t="s">
        <v>146</v>
      </c>
      <c r="F10" s="195" t="s">
        <v>257</v>
      </c>
      <c r="G10" s="151">
        <v>44091</v>
      </c>
      <c r="H10" s="237">
        <v>44092</v>
      </c>
      <c r="I10" s="151"/>
      <c r="J10" s="237"/>
      <c r="K10" s="152"/>
      <c r="L10" s="238"/>
      <c r="M10" s="163">
        <v>10</v>
      </c>
      <c r="N10" s="153"/>
      <c r="O10" s="154">
        <v>12</v>
      </c>
      <c r="P10" s="155"/>
      <c r="Q10" s="156"/>
      <c r="R10" s="239"/>
      <c r="S10" s="240"/>
      <c r="T10" s="241"/>
      <c r="U10" s="157"/>
      <c r="V10" s="158"/>
      <c r="W10" s="158"/>
      <c r="X10" s="158"/>
      <c r="Y10" s="159"/>
      <c r="Z10" s="160"/>
      <c r="AA10" s="158"/>
      <c r="AB10" s="158"/>
      <c r="AC10" s="158"/>
      <c r="AD10" s="158"/>
      <c r="AE10" s="158"/>
      <c r="AF10" s="159"/>
      <c r="AG10" s="160"/>
      <c r="AH10" s="158"/>
      <c r="AI10" s="158"/>
      <c r="AJ10" s="158"/>
      <c r="AK10" s="158"/>
      <c r="AL10" s="158"/>
      <c r="AM10" s="159"/>
      <c r="AN10" s="160"/>
      <c r="AO10" s="160"/>
      <c r="AP10" s="160"/>
      <c r="AQ10" s="158"/>
      <c r="AR10" s="158"/>
      <c r="AS10" s="158"/>
      <c r="AT10" s="159"/>
      <c r="AU10" s="160"/>
      <c r="AV10" s="158"/>
      <c r="AW10" s="158"/>
      <c r="AX10" s="158"/>
      <c r="AY10" s="161"/>
      <c r="AZ10" s="158"/>
      <c r="BA10" s="159"/>
      <c r="BB10" s="160"/>
      <c r="BC10" s="158"/>
      <c r="BD10" s="158"/>
      <c r="BE10" s="158"/>
      <c r="BF10" s="158"/>
      <c r="BG10" s="158"/>
      <c r="BH10" s="159"/>
      <c r="BI10" s="160"/>
      <c r="BJ10" s="160"/>
      <c r="BK10" s="158"/>
      <c r="BL10" s="158"/>
      <c r="BM10" s="158"/>
      <c r="BN10" s="158"/>
      <c r="BO10" s="159"/>
      <c r="BP10" s="160"/>
      <c r="BQ10" s="158"/>
      <c r="BR10" s="158"/>
      <c r="BS10" s="158"/>
      <c r="BT10" s="158"/>
      <c r="BU10" s="158"/>
      <c r="BV10" s="159"/>
      <c r="BW10" s="160"/>
      <c r="BX10" s="158"/>
      <c r="BY10" s="158"/>
      <c r="BZ10" s="158"/>
      <c r="CA10" s="158"/>
      <c r="CB10" s="242"/>
    </row>
    <row r="11" spans="1:80" s="29" customFormat="1" ht="20.100000000000001" customHeight="1" thickTop="1" thickBot="1">
      <c r="A11" s="149">
        <v>10</v>
      </c>
      <c r="B11" s="149">
        <v>1</v>
      </c>
      <c r="C11" s="149" t="s">
        <v>249</v>
      </c>
      <c r="D11" s="149">
        <v>11</v>
      </c>
      <c r="E11" s="150" t="s">
        <v>157</v>
      </c>
      <c r="F11" s="195" t="s">
        <v>257</v>
      </c>
      <c r="G11" s="151">
        <v>44091</v>
      </c>
      <c r="H11" s="237">
        <v>44092</v>
      </c>
      <c r="I11" s="151"/>
      <c r="J11" s="237"/>
      <c r="K11" s="152"/>
      <c r="L11" s="238"/>
      <c r="M11" s="163">
        <v>80</v>
      </c>
      <c r="N11" s="153"/>
      <c r="O11" s="154">
        <v>12</v>
      </c>
      <c r="P11" s="155"/>
      <c r="Q11" s="156"/>
      <c r="R11" s="239"/>
      <c r="S11" s="240"/>
      <c r="T11" s="241"/>
      <c r="U11" s="157"/>
      <c r="V11" s="158"/>
      <c r="W11" s="158"/>
      <c r="X11" s="158"/>
      <c r="Y11" s="159"/>
      <c r="Z11" s="160"/>
      <c r="AA11" s="158"/>
      <c r="AB11" s="158"/>
      <c r="AC11" s="158"/>
      <c r="AD11" s="158"/>
      <c r="AE11" s="158"/>
      <c r="AF11" s="159"/>
      <c r="AG11" s="160"/>
      <c r="AH11" s="158"/>
      <c r="AI11" s="158"/>
      <c r="AJ11" s="158"/>
      <c r="AK11" s="158"/>
      <c r="AL11" s="158"/>
      <c r="AM11" s="159"/>
      <c r="AN11" s="160"/>
      <c r="AO11" s="160"/>
      <c r="AP11" s="160"/>
      <c r="AQ11" s="158"/>
      <c r="AR11" s="158"/>
      <c r="AS11" s="158"/>
      <c r="AT11" s="159"/>
      <c r="AU11" s="160"/>
      <c r="AV11" s="158"/>
      <c r="AW11" s="158"/>
      <c r="AX11" s="158"/>
      <c r="AY11" s="161"/>
      <c r="AZ11" s="158"/>
      <c r="BA11" s="159"/>
      <c r="BB11" s="160"/>
      <c r="BC11" s="158"/>
      <c r="BD11" s="158"/>
      <c r="BE11" s="158"/>
      <c r="BF11" s="158"/>
      <c r="BG11" s="158"/>
      <c r="BH11" s="159"/>
      <c r="BI11" s="160"/>
      <c r="BJ11" s="160"/>
      <c r="BK11" s="158"/>
      <c r="BL11" s="158"/>
      <c r="BM11" s="158"/>
      <c r="BN11" s="158"/>
      <c r="BO11" s="159"/>
      <c r="BP11" s="160"/>
      <c r="BQ11" s="158"/>
      <c r="BR11" s="158"/>
      <c r="BS11" s="158"/>
      <c r="BT11" s="158"/>
      <c r="BU11" s="158"/>
      <c r="BV11" s="159"/>
      <c r="BW11" s="160"/>
      <c r="BX11" s="158"/>
      <c r="BY11" s="158"/>
      <c r="BZ11" s="158"/>
      <c r="CA11" s="158"/>
      <c r="CB11" s="242"/>
    </row>
    <row r="12" spans="1:80" ht="20.100000000000001" customHeight="1" thickTop="1"/>
  </sheetData>
  <sheetProtection formatColumns="0" formatRows="0" autoFilter="0"/>
  <mergeCells count="13">
    <mergeCell ref="U3:AW3"/>
    <mergeCell ref="AY3:CB3"/>
    <mergeCell ref="E6:E7"/>
    <mergeCell ref="C2:C3"/>
    <mergeCell ref="A2:A3"/>
    <mergeCell ref="B2:B3"/>
    <mergeCell ref="D2:D3"/>
    <mergeCell ref="F2:F3"/>
    <mergeCell ref="E2:E3"/>
    <mergeCell ref="N2:N3"/>
    <mergeCell ref="S2:S3"/>
    <mergeCell ref="T2:T3"/>
    <mergeCell ref="M2:M3"/>
  </mergeCells>
  <phoneticPr fontId="22"/>
  <dataValidations count="4">
    <dataValidation imeMode="off" allowBlank="1" showInputMessage="1" showErrorMessage="1" sqref="G4:H4 T4 D4 I4:L5 N4:S5 M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11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button id="S_B002" size="large" label="オプション&#13;&#10;" onAction="ctl_ribbon.dispOption" supertip="オプション設定画面を表示します" imageMso="AnimationCustomAddActionVerbDialog"/>
          <button id="S_B003" size="large" label="カレンダー生成&#13;&#10;" onAction="ctl_ribbon.makeCalendar" supertip="設定された期間のカレンダーを生成します" imageMso="CalendarMonthDetailsSplitButton"/>
          <splitButton id="S_SB001" size="large">
            <button id="S_B004" label="ガント&#13;&#10;チャート" onAction="ctl_ribbon.viewNormal" supertip="ガントチャートを表示します" imageMso="GanttChartViewGallery"/>
            <menu id="S_M100" itemSize="large">
              <button id="S_B005" label="ガント&#13;&#10;チャート" onAction="ctl_ribbon.viewNormal" supertip="ガントチャートを表示します" imageMso="GanttChartViewGallery"/>
              <button id="S_B006" label="タスクシート" onAction="ctl_ribbon.viewTask" supertip="タスク編集モードに変更します" imageMso="MenuDailyTaskList"/>
              <button id="S_B007" label="チームプランナー" onAction="ctl_ribbon.viewTeamsPlanner" supertip="担当者編集モードに変更します" imageMso="TeamPlannerViewGallery"/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/>
          </menu>
          <menu id="E_M001" label="エクスポート&#13;&#10;" size="large" itemSize="large" supertip="ファイルをエクスポート" imageMso="CalendarToolExportAllAppointments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進捗管理" visible="true">
      <firstColumn>
        <group id="grp1" label="更新情報" visible="true">
          <topItems>
            <labelControl id="v104-01" label="Ver.1.04　休日をマクロで設定するように変更"/>
            <labelControl id="v104-02" label="        　土日祝を色付け、リボンメニュー対応"/>
          </topItems>
        </group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VBA/tree/master/WB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47</vt:i4>
      </vt:variant>
    </vt:vector>
  </HeadingPairs>
  <TitlesOfParts>
    <vt:vector size="53" baseType="lpstr">
      <vt:lpstr>Help</vt:lpstr>
      <vt:lpstr>Tmp</vt:lpstr>
      <vt:lpstr>Notice</vt:lpstr>
      <vt:lpstr>設定</vt:lpstr>
      <vt:lpstr>メイン</vt:lpstr>
      <vt:lpstr>WBS (サンプル)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cell_PlanStart</vt:lpstr>
      <vt:lpstr>cell_ShortcutList</vt:lpstr>
      <vt:lpstr>cell_TaskArea</vt:lpstr>
      <vt:lpstr>cell_unitCostorList</vt:lpstr>
      <vt:lpstr>CompanyHolidayColor</vt:lpstr>
      <vt:lpstr>debugMode</vt:lpstr>
      <vt:lpstr>endDay</vt:lpstr>
      <vt:lpstr>ganttChartLineType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SaturdayColor</vt:lpstr>
      <vt:lpstr>setDispProgress100</vt:lpstr>
      <vt:lpstr>setLightning</vt:lpstr>
      <vt:lpstr>sheetRangeStartCell</vt:lpstr>
      <vt:lpstr>startDay</vt:lpstr>
      <vt:lpstr>SundayColor</vt:lpstr>
      <vt:lpstr>view_Achievement</vt:lpstr>
      <vt:lpstr>view_Assign</vt:lpstr>
      <vt:lpstr>view_LateOrEarly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2020-09-01T05:35:14Z</cp:lastPrinted>
  <dcterms:created xsi:type="dcterms:W3CDTF">2020-07-29T06:35:44Z</dcterms:created>
  <dcterms:modified xsi:type="dcterms:W3CDTF">2020-09-08T07:18:04Z</dcterms:modified>
</cp:coreProperties>
</file>