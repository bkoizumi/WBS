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4ed185b41844832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WorkSpace\VBA\WBS\"/>
    </mc:Choice>
  </mc:AlternateContent>
  <bookViews>
    <workbookView xWindow="0" yWindow="34200" windowWidth="28800" windowHeight="12270" activeTab="3"/>
  </bookViews>
  <sheets>
    <sheet name="Help" sheetId="6" r:id="rId1"/>
    <sheet name="Tmp" sheetId="9" r:id="rId2"/>
    <sheet name="Notice" sheetId="5" r:id="rId3"/>
    <sheet name="Ribbon" sheetId="10" r:id="rId4"/>
    <sheet name="設定" sheetId="4" r:id="rId5"/>
    <sheet name="WBS" sheetId="2" r:id="rId6"/>
    <sheet name="WBS (サンプル)" sheetId="7" r:id="rId7"/>
  </sheets>
  <functionGroups builtInGroupCount="18"/>
  <definedNames>
    <definedName name="baseDay">設定!$B$9</definedName>
    <definedName name="CompanyHolidayColor">設定!$B$15</definedName>
    <definedName name="debugMode">設定!$B$3</definedName>
    <definedName name="endDay">設定!$B$8</definedName>
    <definedName name="ganttChartLineType">設定!$B$10</definedName>
    <definedName name="lineColor">設定!$B$12</definedName>
    <definedName name="lineColor_Achievement">設定!$B$17</definedName>
    <definedName name="lineColor_Lightning">設定!$B$18</definedName>
    <definedName name="lineColor_Plan">設定!$B$16</definedName>
    <definedName name="lineColor_TaskLevel1">設定!$B$19</definedName>
    <definedName name="lineColor_TaskLevel2">設定!$B$20</definedName>
    <definedName name="lineColorFlg">設定!$B$6</definedName>
    <definedName name="SaturdayColor">設定!$B$13</definedName>
    <definedName name="setDispProgress100">設定!$B$11</definedName>
    <definedName name="setLightning">設定!$B$5</definedName>
    <definedName name="startDay">設定!$B$7</definedName>
    <definedName name="SundayColor">設定!$B$14</definedName>
    <definedName name="workMode">設定!$B$4</definedName>
    <definedName name="休日リスト">設定!$O$3:$O$5</definedName>
    <definedName name="担当者">設定!$K$3:$K$37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6" i="7" l="1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B26" i="7"/>
  <c r="B21" i="7"/>
  <c r="B20" i="7"/>
  <c r="B34" i="7"/>
  <c r="B19" i="7"/>
  <c r="B14" i="7"/>
  <c r="B8" i="7"/>
  <c r="B30" i="7"/>
  <c r="B12" i="7"/>
  <c r="B36" i="7"/>
  <c r="B27" i="7"/>
  <c r="B25" i="7"/>
  <c r="B22" i="7"/>
  <c r="B31" i="7"/>
  <c r="B18" i="7"/>
  <c r="B35" i="7"/>
  <c r="B11" i="7"/>
  <c r="B6" i="7"/>
  <c r="B24" i="7"/>
  <c r="B13" i="7"/>
  <c r="B9" i="7"/>
  <c r="B10" i="7"/>
  <c r="B32" i="7"/>
  <c r="B17" i="7"/>
  <c r="B23" i="7"/>
  <c r="B7" i="7"/>
  <c r="B33" i="7"/>
  <c r="B28" i="7"/>
  <c r="B15" i="7"/>
  <c r="B29" i="7"/>
  <c r="B16" i="7"/>
</calcChain>
</file>

<file path=xl/comments1.xml><?xml version="1.0" encoding="utf-8"?>
<comments xmlns="http://schemas.openxmlformats.org/spreadsheetml/2006/main">
  <authors>
    <author>Koizumi.Bunpei</author>
  </authors>
  <commentList>
    <comment ref="P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</commentList>
</comments>
</file>

<file path=xl/comments2.xml><?xml version="1.0" encoding="utf-8"?>
<comments xmlns="http://schemas.openxmlformats.org/spreadsheetml/2006/main">
  <authors>
    <author>Koizumi.Bunpei</author>
  </authors>
  <commentList>
    <comment ref="P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</commentList>
</comments>
</file>

<file path=xl/sharedStrings.xml><?xml version="1.0" encoding="utf-8"?>
<sst xmlns="http://schemas.openxmlformats.org/spreadsheetml/2006/main" count="333" uniqueCount="246">
  <si>
    <t>Lv</t>
    <phoneticPr fontId="20"/>
  </si>
  <si>
    <t>担当者</t>
    <rPh sb="0" eb="3">
      <t>タントウシャ</t>
    </rPh>
    <phoneticPr fontId="20"/>
  </si>
  <si>
    <t>予定日</t>
    <rPh sb="0" eb="3">
      <t>ヨテイビ</t>
    </rPh>
    <phoneticPr fontId="20"/>
  </si>
  <si>
    <t>予定</t>
    <rPh sb="0" eb="2">
      <t>ヨテイ</t>
    </rPh>
    <phoneticPr fontId="20"/>
  </si>
  <si>
    <t>実績</t>
    <rPh sb="0" eb="2">
      <t>ジッセキ</t>
    </rPh>
    <phoneticPr fontId="20"/>
  </si>
  <si>
    <t>開始</t>
    <rPh sb="0" eb="2">
      <t>カイシ</t>
    </rPh>
    <phoneticPr fontId="20"/>
  </si>
  <si>
    <t>終了</t>
    <rPh sb="0" eb="2">
      <t>シュウリョウ</t>
    </rPh>
    <phoneticPr fontId="20"/>
  </si>
  <si>
    <t>先行</t>
    <rPh sb="0" eb="2">
      <t>センコウ</t>
    </rPh>
    <phoneticPr fontId="20"/>
  </si>
  <si>
    <t>継続</t>
    <rPh sb="0" eb="2">
      <t>ケイゾク</t>
    </rPh>
    <phoneticPr fontId="20"/>
  </si>
  <si>
    <t>項目名</t>
    <rPh sb="0" eb="2">
      <t>コウモク</t>
    </rPh>
    <rPh sb="2" eb="3">
      <t>メイ</t>
    </rPh>
    <phoneticPr fontId="20"/>
  </si>
  <si>
    <t>値</t>
    <rPh sb="0" eb="1">
      <t>アタイ</t>
    </rPh>
    <phoneticPr fontId="20"/>
  </si>
  <si>
    <t>Ctrl+[A-z]</t>
    <phoneticPr fontId="20"/>
  </si>
  <si>
    <t>t</t>
    <phoneticPr fontId="20"/>
  </si>
  <si>
    <t>要員B</t>
  </si>
  <si>
    <t>要員C</t>
  </si>
  <si>
    <t>要員D</t>
  </si>
  <si>
    <t>要員E</t>
  </si>
  <si>
    <t>要員F</t>
  </si>
  <si>
    <t>要員G</t>
  </si>
  <si>
    <t>要員H</t>
  </si>
  <si>
    <t>要員I</t>
  </si>
  <si>
    <t>要員J</t>
  </si>
  <si>
    <t>要員K</t>
  </si>
  <si>
    <t>■ショートカットキー</t>
    <phoneticPr fontId="20"/>
  </si>
  <si>
    <t>■ガントチャートの設定</t>
    <rPh sb="9" eb="11">
      <t>セッテイ</t>
    </rPh>
    <phoneticPr fontId="20"/>
  </si>
  <si>
    <t>■VBA用の設定</t>
    <rPh sb="4" eb="5">
      <t>ヨウ</t>
    </rPh>
    <rPh sb="6" eb="8">
      <t>セッテイ</t>
    </rPh>
    <phoneticPr fontId="20"/>
  </si>
  <si>
    <t>ID</t>
    <phoneticPr fontId="26"/>
  </si>
  <si>
    <t>Message</t>
    <phoneticPr fontId="26"/>
  </si>
  <si>
    <t>%%ファイルを全て選択してください</t>
    <rPh sb="7" eb="8">
      <t>スベ</t>
    </rPh>
    <rPh sb="9" eb="11">
      <t>センタク</t>
    </rPh>
    <phoneticPr fontId="26"/>
  </si>
  <si>
    <t>%%ファイルを選択してください</t>
    <rPh sb="7" eb="9">
      <t>センタク</t>
    </rPh>
    <phoneticPr fontId="26"/>
  </si>
  <si>
    <t>%%を入力してください</t>
    <rPh sb="3" eb="5">
      <t>ニュ</t>
    </rPh>
    <phoneticPr fontId="26"/>
  </si>
  <si>
    <t>%%処理が完了しました</t>
    <rPh sb="2" eb="4">
      <t>ショリ</t>
    </rPh>
    <rPh sb="5" eb="7">
      <t>カンリョウ</t>
    </rPh>
    <phoneticPr fontId="26"/>
  </si>
  <si>
    <t>キャンセルされました</t>
    <phoneticPr fontId="26"/>
  </si>
  <si>
    <t>型が一致しません。</t>
    <phoneticPr fontId="26"/>
  </si>
  <si>
    <t>オブジェクト変数または With ブロック変数が設定されていません。</t>
  </si>
  <si>
    <t>処理中に他のExcelが操作されました</t>
    <rPh sb="0" eb="3">
      <t>ショリチュウ</t>
    </rPh>
    <rPh sb="4" eb="5">
      <t>タ</t>
    </rPh>
    <rPh sb="12" eb="14">
      <t>ソウサ</t>
    </rPh>
    <phoneticPr fontId="26"/>
  </si>
  <si>
    <t>1-1．リボンメニューについて</t>
    <phoneticPr fontId="26"/>
  </si>
  <si>
    <t>1．概要</t>
    <rPh sb="2" eb="4">
      <t>ガイヨウ</t>
    </rPh>
    <phoneticPr fontId="26"/>
  </si>
  <si>
    <t>本ツール専用のリボンメニューを実装しています。</t>
    <rPh sb="0" eb="1">
      <t>ホン</t>
    </rPh>
    <rPh sb="4" eb="6">
      <t>センヨウ</t>
    </rPh>
    <rPh sb="15" eb="17">
      <t>ジッソウ</t>
    </rPh>
    <phoneticPr fontId="26"/>
  </si>
  <si>
    <t>debugMode</t>
    <phoneticPr fontId="20"/>
  </si>
  <si>
    <t>会社指定休日</t>
    <rPh sb="0" eb="2">
      <t>カイシャ</t>
    </rPh>
    <rPh sb="2" eb="4">
      <t>シテイ</t>
    </rPh>
    <rPh sb="4" eb="6">
      <t>キュウジツ</t>
    </rPh>
    <phoneticPr fontId="20"/>
  </si>
  <si>
    <t>タスク</t>
    <phoneticPr fontId="22"/>
  </si>
  <si>
    <t>マイルストーン</t>
    <phoneticPr fontId="22"/>
  </si>
  <si>
    <t>基準日が範囲外に設定されているためイナズマ線は引かれません</t>
    <rPh sb="0" eb="3">
      <t>キジュンビ</t>
    </rPh>
    <rPh sb="4" eb="7">
      <t>ハンイガイ</t>
    </rPh>
    <rPh sb="8" eb="10">
      <t>セッテイ</t>
    </rPh>
    <rPh sb="21" eb="22">
      <t>セン</t>
    </rPh>
    <rPh sb="23" eb="24">
      <t>ヒ</t>
    </rPh>
    <phoneticPr fontId="22"/>
  </si>
  <si>
    <t>workMode</t>
    <phoneticPr fontId="20"/>
  </si>
  <si>
    <t>実績日</t>
    <rPh sb="0" eb="2">
      <t>ジッセキ</t>
    </rPh>
    <rPh sb="2" eb="3">
      <t>ビ</t>
    </rPh>
    <phoneticPr fontId="1"/>
  </si>
  <si>
    <t>作業工数</t>
    <rPh sb="0" eb="2">
      <t>サギョウ</t>
    </rPh>
    <rPh sb="2" eb="4">
      <t>コウスウ</t>
    </rPh>
    <phoneticPr fontId="1"/>
  </si>
  <si>
    <t>備考</t>
    <rPh sb="0" eb="2">
      <t>ビコウ</t>
    </rPh>
    <phoneticPr fontId="1"/>
  </si>
  <si>
    <t>開始</t>
    <rPh sb="0" eb="2">
      <t>カイシ</t>
    </rPh>
    <phoneticPr fontId="1"/>
  </si>
  <si>
    <t>終了</t>
    <rPh sb="0" eb="2">
      <t>シュウリョウ</t>
    </rPh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</si>
  <si>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</si>
  <si>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</si>
  <si>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進捗率</t>
    <rPh sb="0" eb="2">
      <t>シンチョク</t>
    </rPh>
    <rPh sb="2" eb="3">
      <t>リツ</t>
    </rPh>
    <phoneticPr fontId="1"/>
  </si>
  <si>
    <t>前回</t>
    <rPh sb="0" eb="2">
      <t>ゼンカイ</t>
    </rPh>
    <phoneticPr fontId="1"/>
  </si>
  <si>
    <t>今回</t>
    <rPh sb="0" eb="2">
      <t>コンカイ</t>
    </rPh>
    <phoneticPr fontId="1"/>
  </si>
  <si>
    <t>公開</t>
  </si>
  <si>
    <t>工程</t>
    <phoneticPr fontId="9"/>
  </si>
  <si>
    <t>遅早工数</t>
    <rPh sb="0" eb="1">
      <t>チ</t>
    </rPh>
    <rPh sb="1" eb="2">
      <t>ソウ</t>
    </rPh>
    <rPh sb="2" eb="4">
      <t>コウスウ</t>
    </rPh>
    <phoneticPr fontId="1"/>
  </si>
  <si>
    <t>CD部用</t>
  </si>
  <si>
    <t>[TBD]SE</t>
  </si>
  <si>
    <t>[TBD]PG</t>
  </si>
  <si>
    <t>[TBD]テスター</t>
  </si>
  <si>
    <t>[TBD]PL</t>
  </si>
  <si>
    <t>[TBD]De</t>
  </si>
  <si>
    <t>[TBD]HT</t>
  </si>
  <si>
    <t>工程</t>
  </si>
  <si>
    <t>TBD</t>
  </si>
  <si>
    <t>baseDay</t>
  </si>
  <si>
    <t>endDay</t>
  </si>
  <si>
    <t>setLightning</t>
  </si>
  <si>
    <t>ganttChartLineType</t>
    <phoneticPr fontId="20"/>
  </si>
  <si>
    <t>setDispProgress100</t>
    <phoneticPr fontId="20"/>
  </si>
  <si>
    <t>lineColor_Plan</t>
    <phoneticPr fontId="20"/>
  </si>
  <si>
    <t>lineColor_Achievement</t>
    <phoneticPr fontId="20"/>
  </si>
  <si>
    <t>lineColor_Lightning</t>
    <phoneticPr fontId="20"/>
  </si>
  <si>
    <t>lineColor_TaskLevel1</t>
    <phoneticPr fontId="20"/>
  </si>
  <si>
    <t>lineColorFlg</t>
    <phoneticPr fontId="20"/>
  </si>
  <si>
    <t>lineColor</t>
    <phoneticPr fontId="20"/>
  </si>
  <si>
    <t>SaturdayColor</t>
    <phoneticPr fontId="20"/>
  </si>
  <si>
    <t>SundayColor</t>
    <phoneticPr fontId="20"/>
  </si>
  <si>
    <t>CompanyHolidayColor</t>
    <phoneticPr fontId="20"/>
  </si>
  <si>
    <t>lineColor_TaskLevel2</t>
    <phoneticPr fontId="20"/>
  </si>
  <si>
    <t>lineColor_TaskLevel3</t>
    <phoneticPr fontId="20"/>
  </si>
  <si>
    <t>タスク名</t>
    <rPh sb="3" eb="4">
      <t>メイ</t>
    </rPh>
    <phoneticPr fontId="20"/>
  </si>
  <si>
    <t>#</t>
    <phoneticPr fontId="20"/>
  </si>
  <si>
    <t>要員L</t>
  </si>
  <si>
    <t>TBA</t>
  </si>
  <si>
    <t>TBC</t>
  </si>
  <si>
    <t>要員A</t>
  </si>
  <si>
    <t>カレンダーの期間よりもタスクの終了日が未来に設定されています。
カレンダーの期間を設定し、作成し直してください。</t>
    <rPh sb="38" eb="40">
      <t>キカン</t>
    </rPh>
    <rPh sb="41" eb="43">
      <t>セッテイ</t>
    </rPh>
    <rPh sb="45" eb="47">
      <t>サクセイ</t>
    </rPh>
    <rPh sb="48" eb="49">
      <t>ナオ</t>
    </rPh>
    <phoneticPr fontId="22"/>
  </si>
  <si>
    <t>カレンダーの期間よりもタスクの開始日が過去に設定されています。
カレンダーの期間を設定し、作成し直してください。</t>
    <rPh sb="38" eb="40">
      <t>キカン</t>
    </rPh>
    <rPh sb="41" eb="43">
      <t>セッテイ</t>
    </rPh>
    <rPh sb="45" eb="47">
      <t>サクセイ</t>
    </rPh>
    <rPh sb="48" eb="49">
      <t>ナオ</t>
    </rPh>
    <phoneticPr fontId="22"/>
  </si>
  <si>
    <t>カレンダーの期間よりもタスクの実績開始日が過去に設定されています</t>
  </si>
  <si>
    <t>カレンダーの期間よりもタスクの実績終了日が未来に設定されています</t>
  </si>
  <si>
    <t>Type2</t>
    <phoneticPr fontId="20"/>
  </si>
  <si>
    <t>レビュー</t>
  </si>
  <si>
    <t>コーディング</t>
  </si>
  <si>
    <t>PC</t>
  </si>
  <si>
    <t>スマホ</t>
  </si>
  <si>
    <t>M_ガントチャート生成</t>
  </si>
  <si>
    <t>M_センター</t>
  </si>
  <si>
    <t>M_フィルター</t>
  </si>
  <si>
    <t>M_すべて表示</t>
  </si>
  <si>
    <t>M_オプション画面表示</t>
  </si>
  <si>
    <t>M_タスクチェック</t>
  </si>
  <si>
    <t>C</t>
    <phoneticPr fontId="20"/>
  </si>
  <si>
    <t>D</t>
    <phoneticPr fontId="20"/>
  </si>
  <si>
    <t>M_ガントチャートクリア</t>
    <phoneticPr fontId="20"/>
  </si>
  <si>
    <t>M_全画面</t>
    <phoneticPr fontId="20"/>
  </si>
  <si>
    <t>M_タスク操作</t>
    <phoneticPr fontId="20"/>
  </si>
  <si>
    <t>M_スケール</t>
    <phoneticPr fontId="20"/>
  </si>
  <si>
    <t>optionKey</t>
    <phoneticPr fontId="20"/>
  </si>
  <si>
    <t>centerKey</t>
    <phoneticPr fontId="20"/>
  </si>
  <si>
    <t>filterKey</t>
    <phoneticPr fontId="20"/>
  </si>
  <si>
    <t>dispAllKey</t>
    <phoneticPr fontId="20"/>
  </si>
  <si>
    <t>taskCheckKey</t>
    <phoneticPr fontId="20"/>
  </si>
  <si>
    <t>makeGanttKey</t>
    <phoneticPr fontId="20"/>
  </si>
  <si>
    <t>clearGanttKey</t>
    <phoneticPr fontId="20"/>
  </si>
  <si>
    <t>clearFilterKey</t>
    <phoneticPr fontId="20"/>
  </si>
  <si>
    <t>taskControlKey</t>
    <phoneticPr fontId="20"/>
  </si>
  <si>
    <t>ScaleKey</t>
    <phoneticPr fontId="20"/>
  </si>
  <si>
    <t>外注A</t>
  </si>
  <si>
    <t>外注B</t>
  </si>
  <si>
    <t>外注C</t>
  </si>
  <si>
    <t>外注D</t>
  </si>
  <si>
    <t>期間中の休日リスト</t>
    <phoneticPr fontId="20"/>
  </si>
  <si>
    <t>iPhone</t>
    <phoneticPr fontId="9"/>
  </si>
  <si>
    <t>○社A様</t>
  </si>
  <si>
    <t>startDay</t>
    <phoneticPr fontId="20"/>
  </si>
  <si>
    <t>○社B様</t>
  </si>
  <si>
    <t>○社C様</t>
  </si>
  <si>
    <t>○社D様</t>
  </si>
  <si>
    <t>山の日</t>
  </si>
  <si>
    <t>ID</t>
    <phoneticPr fontId="20"/>
  </si>
  <si>
    <t>名称</t>
    <rPh sb="0" eb="2">
      <t>メイショウ</t>
    </rPh>
    <phoneticPr fontId="20"/>
  </si>
  <si>
    <t>Label</t>
    <phoneticPr fontId="20"/>
  </si>
  <si>
    <t>onAction</t>
    <phoneticPr fontId="20"/>
  </si>
  <si>
    <t>Supertip</t>
    <phoneticPr fontId="20"/>
  </si>
  <si>
    <t>Description</t>
    <phoneticPr fontId="20"/>
  </si>
  <si>
    <t>抽出タスク</t>
    <rPh sb="0" eb="2">
      <t>チュウ</t>
    </rPh>
    <phoneticPr fontId="20"/>
  </si>
  <si>
    <t>構成案作成</t>
  </si>
  <si>
    <t>構成案修正</t>
  </si>
  <si>
    <t>デザイン制作</t>
  </si>
  <si>
    <t>デザイン修正</t>
  </si>
  <si>
    <t>確認</t>
  </si>
  <si>
    <t>1．概要</t>
  </si>
  <si>
    <t>1-1．リボンメニューについて</t>
  </si>
  <si>
    <t>外注E</t>
  </si>
  <si>
    <t>外注F</t>
  </si>
  <si>
    <t>外注G</t>
  </si>
  <si>
    <t>外注H</t>
  </si>
  <si>
    <t>S_B001</t>
    <phoneticPr fontId="22"/>
  </si>
  <si>
    <t>Help</t>
    <phoneticPr fontId="22"/>
  </si>
  <si>
    <t>Helpを表示します</t>
    <phoneticPr fontId="22"/>
  </si>
  <si>
    <t>S_B002</t>
  </si>
  <si>
    <t>S_B003</t>
  </si>
  <si>
    <t>オプション</t>
    <phoneticPr fontId="22"/>
  </si>
  <si>
    <t>カレンダー生成</t>
    <phoneticPr fontId="22"/>
  </si>
  <si>
    <t>Com_B001</t>
    <phoneticPr fontId="22"/>
  </si>
  <si>
    <t>Com_B002</t>
  </si>
  <si>
    <t>Com_B003</t>
  </si>
  <si>
    <t>全画面表示</t>
    <phoneticPr fontId="22"/>
  </si>
  <si>
    <t>選択行ハイライト</t>
    <phoneticPr fontId="22"/>
  </si>
  <si>
    <t>全削除</t>
    <phoneticPr fontId="22"/>
  </si>
  <si>
    <t>タスクチェック</t>
    <phoneticPr fontId="22"/>
  </si>
  <si>
    <t>進捗コピー</t>
    <phoneticPr fontId="22"/>
  </si>
  <si>
    <t>抽出</t>
    <phoneticPr fontId="22"/>
  </si>
  <si>
    <t>すべて表示</t>
    <phoneticPr fontId="22"/>
  </si>
  <si>
    <t>T_B001</t>
    <phoneticPr fontId="22"/>
  </si>
  <si>
    <t>T_B002</t>
  </si>
  <si>
    <t>T_B003</t>
  </si>
  <si>
    <t>T_B004</t>
  </si>
  <si>
    <t>C_B001</t>
    <phoneticPr fontId="22"/>
  </si>
  <si>
    <t>C_B002</t>
  </si>
  <si>
    <t>C_B003</t>
  </si>
  <si>
    <t>クリア</t>
    <phoneticPr fontId="22"/>
  </si>
  <si>
    <t>センター</t>
    <phoneticPr fontId="22"/>
  </si>
  <si>
    <t>生成</t>
    <phoneticPr fontId="22"/>
  </si>
  <si>
    <t>I_B001</t>
    <phoneticPr fontId="22"/>
  </si>
  <si>
    <t>I_B002</t>
  </si>
  <si>
    <t>Excel</t>
    <phoneticPr fontId="22"/>
  </si>
  <si>
    <t>redMine</t>
    <phoneticPr fontId="22"/>
  </si>
  <si>
    <t>OBPM</t>
    <phoneticPr fontId="22"/>
  </si>
  <si>
    <t>E_B001</t>
    <phoneticPr fontId="22"/>
  </si>
  <si>
    <t>E_B002</t>
  </si>
  <si>
    <t>E_B003</t>
  </si>
  <si>
    <t>オプション設定画面を表示します</t>
    <rPh sb="5" eb="7">
      <t>セッテイ</t>
    </rPh>
    <rPh sb="7" eb="9">
      <t>ガメン</t>
    </rPh>
    <rPh sb="10" eb="12">
      <t>ヒョウジ</t>
    </rPh>
    <phoneticPr fontId="22"/>
  </si>
  <si>
    <t>設定された期間のカレンダーを生成します</t>
    <rPh sb="0" eb="2">
      <t>セッテイ</t>
    </rPh>
    <rPh sb="5" eb="7">
      <t>キカン</t>
    </rPh>
    <rPh sb="14" eb="16">
      <t>セイセイ</t>
    </rPh>
    <phoneticPr fontId="22"/>
  </si>
  <si>
    <t>CSV</t>
    <phoneticPr fontId="22"/>
  </si>
  <si>
    <t>CSV形式のファイルをインポート</t>
    <rPh sb="3" eb="5">
      <t>ケイシキ</t>
    </rPh>
    <phoneticPr fontId="22"/>
  </si>
  <si>
    <t>Excelファイルをインポート</t>
    <phoneticPr fontId="22"/>
  </si>
  <si>
    <t>Excelファイルを取り込みます</t>
    <rPh sb="10" eb="11">
      <t>ト</t>
    </rPh>
    <rPh sb="12" eb="13">
      <t>コ</t>
    </rPh>
    <phoneticPr fontId="22"/>
  </si>
  <si>
    <t>CSV形式のファイルを取り込みます</t>
    <rPh sb="3" eb="5">
      <t>ケイシキ</t>
    </rPh>
    <rPh sb="11" eb="12">
      <t>ト</t>
    </rPh>
    <rPh sb="13" eb="15">
      <t>コ</t>
    </rPh>
    <phoneticPr fontId="22"/>
  </si>
  <si>
    <t>A</t>
  </si>
  <si>
    <t>B</t>
  </si>
  <si>
    <t>C</t>
  </si>
  <si>
    <t>制作</t>
  </si>
  <si>
    <t>素材提供</t>
  </si>
  <si>
    <t>修正</t>
  </si>
  <si>
    <t>htmlファイル制作</t>
  </si>
  <si>
    <t>テスト公開</t>
  </si>
  <si>
    <t>設置・導入</t>
  </si>
  <si>
    <t>動作確認</t>
  </si>
  <si>
    <t>Android</t>
  </si>
  <si>
    <t>最終確認</t>
  </si>
  <si>
    <t>本番導入</t>
  </si>
  <si>
    <t>cell_TaskArea</t>
    <phoneticPr fontId="20"/>
  </si>
  <si>
    <t>コーディング</t>
    <phoneticPr fontId="9"/>
  </si>
  <si>
    <t>デザイン修正</t>
    <phoneticPr fontId="9"/>
  </si>
  <si>
    <t>作成</t>
    <phoneticPr fontId="9"/>
  </si>
  <si>
    <t>cell_PlanStart</t>
    <phoneticPr fontId="20"/>
  </si>
  <si>
    <t>D</t>
    <phoneticPr fontId="20"/>
  </si>
  <si>
    <t>cell_PlanEnd</t>
    <phoneticPr fontId="20"/>
  </si>
  <si>
    <t>E</t>
    <phoneticPr fontId="20"/>
  </si>
  <si>
    <t>cell_AssignP</t>
    <phoneticPr fontId="20"/>
  </si>
  <si>
    <t>F</t>
    <phoneticPr fontId="20"/>
  </si>
  <si>
    <t>cell_AssignA</t>
    <phoneticPr fontId="20"/>
  </si>
  <si>
    <t>G</t>
    <phoneticPr fontId="20"/>
  </si>
  <si>
    <t>cell_AchievementStart</t>
    <phoneticPr fontId="20"/>
  </si>
  <si>
    <t>H</t>
    <phoneticPr fontId="20"/>
  </si>
  <si>
    <t>cell_AchievementEnd</t>
    <phoneticPr fontId="20"/>
  </si>
  <si>
    <t>I</t>
    <phoneticPr fontId="20"/>
  </si>
  <si>
    <t>cell_ProgressLast</t>
    <phoneticPr fontId="20"/>
  </si>
  <si>
    <t>J</t>
    <phoneticPr fontId="20"/>
  </si>
  <si>
    <t>cell_Progress</t>
    <phoneticPr fontId="20"/>
  </si>
  <si>
    <t>K</t>
    <phoneticPr fontId="20"/>
  </si>
  <si>
    <t>cell_TaskA</t>
    <phoneticPr fontId="20"/>
  </si>
  <si>
    <t>L</t>
    <phoneticPr fontId="20"/>
  </si>
  <si>
    <t>cell_TaskB</t>
    <phoneticPr fontId="20"/>
  </si>
  <si>
    <t>M</t>
    <phoneticPr fontId="20"/>
  </si>
  <si>
    <t>cell_WorkLoadP</t>
    <phoneticPr fontId="20"/>
  </si>
  <si>
    <t>N</t>
    <phoneticPr fontId="20"/>
  </si>
  <si>
    <t>cell_WorkLoadA</t>
    <phoneticPr fontId="20"/>
  </si>
  <si>
    <t>O</t>
    <phoneticPr fontId="20"/>
  </si>
  <si>
    <t>cell_LateOrEarly</t>
    <phoneticPr fontId="20"/>
  </si>
  <si>
    <t>P</t>
    <phoneticPr fontId="20"/>
  </si>
  <si>
    <t>cell_Note</t>
    <phoneticPr fontId="20"/>
  </si>
  <si>
    <t>Q</t>
    <phoneticPr fontId="20"/>
  </si>
  <si>
    <t>calendarStartCol</t>
    <phoneticPr fontId="20"/>
  </si>
  <si>
    <t>R</t>
    <phoneticPr fontId="20"/>
  </si>
  <si>
    <t>none</t>
  </si>
  <si>
    <t>海の日</t>
  </si>
  <si>
    <t>スポーツの日</t>
  </si>
  <si>
    <t>S_B004</t>
    <phoneticPr fontId="22"/>
  </si>
  <si>
    <t>View</t>
    <phoneticPr fontId="22"/>
  </si>
  <si>
    <t>S_B005</t>
    <phoneticPr fontId="22"/>
  </si>
  <si>
    <t>View設定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</si>
</sst>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6" formatCode="&quot;¥&quot;#,##0;[Red]&quot;¥&quot;\-#,##0"/>
    <numFmt numFmtId="8" formatCode="&quot;¥&quot;#,##0.00;[Red]&quot;¥&quot;\-#,##0.00"/>
    <numFmt numFmtId="176" formatCode="&quot;¥&quot;#,##0_ ;[Red]&quot;¥&quot;\-#,##0\ "/>
    <numFmt numFmtId="177" formatCode="#,##0_ ;[Red]\-#,##0\ "/>
    <numFmt numFmtId="178" formatCode="m/d;@"/>
    <numFmt numFmtId="179" formatCode="yyyy/mm/dd"/>
    <numFmt numFmtId="180" formatCode="0_ ;[Red]\-0\ "/>
    <numFmt numFmtId="181" formatCode="m&quot;月&quot;"/>
    <numFmt numFmtId="182" formatCode="d"/>
    <numFmt numFmtId="183" formatCode="0.0%"/>
    <numFmt numFmtId="184" formatCode="0.00_ ;[Red]\-0.00\ "/>
    <numFmt numFmtId="185" formatCode="0.0_ ;[Red]\-0.0\ "/>
  </numFmts>
  <fonts count="36" x14ac:knownFonts="1">
    <font>
      <sz val="10"/>
      <color theme="1"/>
      <name val="メイリオ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sz val="9"/>
      <color theme="1"/>
      <name val="メイリオ"/>
      <family val="3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6"/>
      <name val="メイリオ"/>
      <family val="3"/>
      <charset val="128"/>
    </font>
    <font>
      <sz val="9"/>
      <color rgb="FF000000"/>
      <name val="Meiryo UI"/>
      <family val="3"/>
      <charset val="128"/>
    </font>
    <font>
      <u/>
      <sz val="9"/>
      <color theme="10"/>
      <name val="メイリオ"/>
      <family val="3"/>
      <charset val="128"/>
    </font>
    <font>
      <u/>
      <sz val="9"/>
      <color theme="11"/>
      <name val="メイリオ"/>
      <family val="3"/>
      <charset val="128"/>
    </font>
    <font>
      <sz val="6"/>
      <name val="Meiryo UI"/>
      <family val="2"/>
      <charset val="128"/>
    </font>
    <font>
      <b/>
      <sz val="10"/>
      <color indexed="8"/>
      <name val="メイリオ"/>
      <family val="3"/>
      <charset val="128"/>
    </font>
    <font>
      <sz val="10"/>
      <color theme="1"/>
      <name val="メイリオ"/>
      <family val="3"/>
      <charset val="128"/>
    </font>
    <font>
      <sz val="10"/>
      <color indexed="8"/>
      <name val="メイリオ"/>
      <family val="3"/>
      <charset val="128"/>
    </font>
    <font>
      <sz val="10"/>
      <color theme="0"/>
      <name val="メイリオ"/>
      <family val="3"/>
      <charset val="128"/>
    </font>
    <font>
      <sz val="20"/>
      <color theme="1"/>
      <name val="メイリオ"/>
      <family val="3"/>
      <charset val="128"/>
    </font>
    <font>
      <b/>
      <sz val="14"/>
      <color theme="1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sz val="9"/>
      <color indexed="81"/>
      <name val="メイリオ"/>
      <family val="3"/>
      <charset val="128"/>
    </font>
    <font>
      <u/>
      <sz val="10"/>
      <color theme="10"/>
      <name val="メイリオ"/>
      <family val="3"/>
      <charset val="128"/>
    </font>
  </fonts>
  <fills count="5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99FF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FF0000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auto="1"/>
      </left>
      <right/>
      <top/>
      <bottom/>
      <diagonal/>
    </border>
  </borders>
  <cellStyleXfs count="55">
    <xf numFmtId="0" fontId="0" fillId="0" borderId="0" applyNumberFormat="0" applyFont="0" applyBorder="0" applyAlignment="0" applyProtection="0">
      <alignment vertical="center"/>
      <protection locked="0"/>
    </xf>
    <xf numFmtId="40" fontId="1" fillId="0" borderId="0" applyFont="0" applyFill="0" applyBorder="0" applyAlignment="0" applyProtection="0">
      <alignment vertical="center"/>
    </xf>
    <xf numFmtId="38" fontId="1" fillId="0" borderId="0" applyFont="0" applyFill="0" applyBorder="0" applyAlignment="0" applyProtection="0">
      <alignment vertical="center"/>
    </xf>
    <xf numFmtId="8" fontId="1" fillId="0" borderId="0" applyFont="0" applyFill="0" applyBorder="0" applyAlignment="0" applyProtection="0">
      <alignment vertical="center"/>
    </xf>
    <xf numFmtId="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83" fontId="18" fillId="0" borderId="0" applyFont="0" applyFill="0" applyBorder="0" applyAlignment="0" applyProtection="0">
      <alignment vertical="center"/>
    </xf>
    <xf numFmtId="9" fontId="21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  <protection locked="0"/>
    </xf>
    <xf numFmtId="0" fontId="28" fillId="53" borderId="0" applyNumberFormat="0" applyFont="0" applyAlignment="0" applyProtection="0">
      <alignment horizontal="center" vertical="center" wrapText="1"/>
    </xf>
  </cellStyleXfs>
  <cellXfs count="134">
    <xf numFmtId="0" fontId="0" fillId="0" borderId="0" xfId="0">
      <alignment vertical="center"/>
      <protection locked="0"/>
    </xf>
    <xf numFmtId="0" fontId="0" fillId="0" borderId="0" xfId="0" applyAlignment="1">
      <protection locked="0"/>
    </xf>
    <xf numFmtId="0" fontId="0" fillId="0" borderId="12" xfId="0" applyBorder="1">
      <alignment vertical="center"/>
      <protection locked="0"/>
    </xf>
    <xf numFmtId="0" fontId="19" fillId="43" borderId="12" xfId="0" applyFont="1" applyFill="1" applyBorder="1" applyAlignment="1">
      <alignment horizontal="center" vertical="center"/>
      <protection locked="0"/>
    </xf>
    <xf numFmtId="49" fontId="19" fillId="43" borderId="12" xfId="0" applyNumberFormat="1" applyFont="1" applyFill="1" applyBorder="1" applyAlignment="1">
      <alignment horizontal="center" vertical="center"/>
      <protection locked="0"/>
    </xf>
    <xf numFmtId="0" fontId="0" fillId="0" borderId="0" xfId="0">
      <alignment vertical="center"/>
      <protection locked="0"/>
    </xf>
    <xf numFmtId="0" fontId="19" fillId="0" borderId="0" xfId="0" applyFont="1">
      <alignment vertical="center"/>
      <protection locked="0"/>
    </xf>
    <xf numFmtId="0" fontId="28" fillId="0" borderId="0" xfId="0" applyFont="1" applyFill="1">
      <alignment vertical="center"/>
      <protection locked="0"/>
    </xf>
    <xf numFmtId="0" fontId="28" fillId="44" borderId="0" xfId="0" applyFont="1" applyFill="1" applyBorder="1" applyAlignment="1">
      <alignment horizontal="left" vertical="center" indent="1"/>
      <protection locked="0"/>
    </xf>
    <xf numFmtId="0" fontId="28" fillId="44" borderId="0" xfId="0" applyFont="1" applyFill="1">
      <alignment vertical="center"/>
      <protection locked="0"/>
    </xf>
    <xf numFmtId="0" fontId="28" fillId="0" borderId="17" xfId="0" applyFont="1" applyFill="1" applyBorder="1" applyAlignment="1">
      <alignment horizontal="left" vertical="center" indent="1"/>
      <protection locked="0"/>
    </xf>
    <xf numFmtId="0" fontId="28" fillId="0" borderId="17" xfId="0" applyFont="1" applyFill="1" applyBorder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12" xfId="0" applyBorder="1" applyAlignment="1">
      <alignment horizontal="center" vertical="center"/>
      <protection locked="0"/>
    </xf>
    <xf numFmtId="179" fontId="0" fillId="0" borderId="12" xfId="0" applyNumberFormat="1" applyBorder="1" applyAlignment="1">
      <alignment horizontal="center" vertical="center"/>
      <protection locked="0"/>
    </xf>
    <xf numFmtId="0" fontId="0" fillId="0" borderId="12" xfId="0" applyBorder="1" applyAlignment="1">
      <alignment vertical="center" wrapText="1"/>
      <protection locked="0"/>
    </xf>
    <xf numFmtId="0" fontId="0" fillId="0" borderId="0" xfId="0" applyFill="1" applyAlignment="1">
      <alignment wrapText="1"/>
      <protection locked="0"/>
    </xf>
    <xf numFmtId="0" fontId="0" fillId="0" borderId="0" xfId="0" applyFill="1" applyAlignment="1">
      <alignment vertical="center" wrapText="1"/>
      <protection locked="0"/>
    </xf>
    <xf numFmtId="49" fontId="0" fillId="0" borderId="12" xfId="0" applyNumberFormat="1" applyBorder="1" applyAlignment="1" applyProtection="1">
      <alignment horizontal="center" vertical="center"/>
    </xf>
    <xf numFmtId="0" fontId="0" fillId="0" borderId="12" xfId="0" applyFill="1" applyBorder="1" applyAlignment="1">
      <alignment vertical="center" wrapText="1"/>
      <protection locked="0"/>
    </xf>
    <xf numFmtId="0" fontId="0" fillId="0" borderId="12" xfId="0" applyFill="1" applyBorder="1" applyAlignment="1" applyProtection="1">
      <alignment horizontal="center" vertical="center" wrapText="1"/>
      <protection locked="0"/>
    </xf>
    <xf numFmtId="0" fontId="30" fillId="42" borderId="12" xfId="0" applyFont="1" applyFill="1" applyBorder="1" applyAlignment="1">
      <alignment horizontal="center" vertical="center" wrapText="1"/>
      <protection locked="0"/>
    </xf>
    <xf numFmtId="0" fontId="0" fillId="0" borderId="0" xfId="0" applyNumberFormat="1" applyFill="1" applyAlignment="1" applyProtection="1">
      <alignment horizontal="center" vertical="center"/>
    </xf>
    <xf numFmtId="0" fontId="0" fillId="43" borderId="10" xfId="0" applyNumberFormat="1" applyFill="1" applyBorder="1" applyAlignment="1" applyProtection="1">
      <alignment horizontal="centerContinuous" vertical="center"/>
    </xf>
    <xf numFmtId="0" fontId="0" fillId="0" borderId="12" xfId="0" applyNumberFormat="1" applyFill="1" applyBorder="1" applyAlignment="1" applyProtection="1">
      <alignment horizontal="center" vertical="center"/>
    </xf>
    <xf numFmtId="0" fontId="0" fillId="0" borderId="11" xfId="0" applyNumberFormat="1" applyFill="1" applyBorder="1" applyAlignment="1" applyProtection="1">
      <alignment vertical="center"/>
    </xf>
    <xf numFmtId="0" fontId="0" fillId="0" borderId="13" xfId="0" applyNumberFormat="1" applyFill="1" applyBorder="1" applyAlignment="1" applyProtection="1">
      <alignment vertical="center"/>
    </xf>
    <xf numFmtId="0" fontId="0" fillId="0" borderId="0" xfId="0" applyNumberFormat="1" applyFill="1" applyAlignment="1" applyProtection="1"/>
    <xf numFmtId="0" fontId="0" fillId="0" borderId="0" xfId="0" applyNumberFormat="1" applyFill="1" applyAlignment="1" applyProtection="1">
      <alignment vertical="center"/>
    </xf>
    <xf numFmtId="0" fontId="0" fillId="0" borderId="0" xfId="0" applyAlignment="1">
      <alignment horizontal="center" vertical="center"/>
      <protection locked="0"/>
    </xf>
    <xf numFmtId="178" fontId="0" fillId="46" borderId="11" xfId="0" applyNumberFormat="1" applyFill="1" applyBorder="1" applyAlignment="1" applyProtection="1">
      <alignment vertical="center"/>
    </xf>
    <xf numFmtId="178" fontId="0" fillId="43" borderId="10" xfId="0" applyNumberFormat="1" applyFill="1" applyBorder="1" applyAlignment="1" applyProtection="1">
      <alignment horizontal="centerContinuous" vertical="center"/>
    </xf>
    <xf numFmtId="178" fontId="0" fillId="0" borderId="13" xfId="0" applyNumberFormat="1" applyFill="1" applyBorder="1" applyAlignment="1" applyProtection="1">
      <alignment horizontal="center" vertical="center"/>
    </xf>
    <xf numFmtId="178" fontId="0" fillId="0" borderId="14" xfId="0" applyNumberFormat="1" applyFill="1" applyBorder="1" applyAlignment="1" applyProtection="1">
      <alignment horizontal="center" vertical="center"/>
    </xf>
    <xf numFmtId="178" fontId="0" fillId="0" borderId="0" xfId="0" applyNumberFormat="1" applyFill="1" applyAlignment="1" applyProtection="1">
      <alignment vertical="center"/>
    </xf>
    <xf numFmtId="180" fontId="0" fillId="0" borderId="0" xfId="0" applyNumberFormat="1" applyFill="1" applyAlignment="1" applyProtection="1">
      <alignment vertical="center"/>
    </xf>
    <xf numFmtId="180" fontId="0" fillId="0" borderId="13" xfId="0" applyNumberFormat="1" applyFill="1" applyBorder="1" applyAlignment="1" applyProtection="1">
      <alignment horizontal="center" vertical="center"/>
    </xf>
    <xf numFmtId="181" fontId="0" fillId="0" borderId="0" xfId="0" applyNumberFormat="1" applyFill="1" applyAlignment="1" applyProtection="1">
      <alignment horizontal="center" vertical="center"/>
    </xf>
    <xf numFmtId="182" fontId="0" fillId="0" borderId="0" xfId="0" applyNumberFormat="1" applyFill="1" applyAlignment="1" applyProtection="1">
      <alignment horizontal="center" vertical="center"/>
    </xf>
    <xf numFmtId="14" fontId="0" fillId="0" borderId="12" xfId="0" applyNumberFormat="1" applyBorder="1" applyAlignment="1">
      <alignment horizontal="center" vertical="center"/>
      <protection locked="0"/>
    </xf>
    <xf numFmtId="180" fontId="0" fillId="0" borderId="19" xfId="0" applyNumberFormat="1" applyFill="1" applyBorder="1" applyAlignment="1" applyProtection="1">
      <alignment horizontal="center" vertical="center"/>
    </xf>
    <xf numFmtId="178" fontId="0" fillId="0" borderId="19" xfId="0" applyNumberFormat="1" applyFill="1" applyBorder="1" applyAlignment="1" applyProtection="1">
      <alignment horizontal="center" vertical="center"/>
    </xf>
    <xf numFmtId="0" fontId="0" fillId="43" borderId="18" xfId="0" applyNumberFormat="1" applyFill="1" applyBorder="1" applyAlignment="1" applyProtection="1">
      <alignment horizontal="centerContinuous" vertical="center"/>
    </xf>
    <xf numFmtId="0" fontId="0" fillId="43" borderId="12" xfId="0" applyNumberFormat="1" applyFill="1" applyBorder="1" applyAlignment="1" applyProtection="1">
      <alignment horizontal="center" vertical="center"/>
    </xf>
    <xf numFmtId="178" fontId="0" fillId="43" borderId="18" xfId="0" applyNumberFormat="1" applyFill="1" applyBorder="1" applyAlignment="1" applyProtection="1">
      <alignment horizontal="centerContinuous" vertical="center"/>
    </xf>
    <xf numFmtId="0" fontId="0" fillId="45" borderId="11" xfId="0" applyNumberFormat="1" applyFill="1" applyBorder="1" applyAlignment="1" applyProtection="1">
      <alignment horizontal="center" vertical="center"/>
    </xf>
    <xf numFmtId="185" fontId="0" fillId="0" borderId="13" xfId="0" applyNumberFormat="1" applyFill="1" applyBorder="1" applyAlignment="1" applyProtection="1">
      <alignment horizontal="center" vertical="center" wrapText="1"/>
    </xf>
    <xf numFmtId="184" fontId="0" fillId="0" borderId="10" xfId="0" applyNumberFormat="1" applyFill="1" applyBorder="1" applyAlignment="1" applyProtection="1">
      <alignment horizontal="center" vertical="center"/>
    </xf>
    <xf numFmtId="0" fontId="0" fillId="0" borderId="13" xfId="0" applyNumberFormat="1" applyFill="1" applyBorder="1" applyAlignment="1" applyProtection="1">
      <alignment horizontal="center" vertical="center" shrinkToFit="1"/>
    </xf>
    <xf numFmtId="0" fontId="0" fillId="0" borderId="14" xfId="0" applyNumberFormat="1" applyFill="1" applyBorder="1" applyAlignment="1" applyProtection="1">
      <alignment horizontal="center" vertical="center" shrinkToFit="1"/>
    </xf>
    <xf numFmtId="14" fontId="0" fillId="0" borderId="12" xfId="0" applyNumberFormat="1" applyBorder="1" applyProtection="1">
      <alignment vertical="center"/>
    </xf>
    <xf numFmtId="0" fontId="0" fillId="48" borderId="11" xfId="0" applyNumberFormat="1" applyFill="1" applyBorder="1" applyAlignment="1" applyProtection="1">
      <alignment vertical="center"/>
    </xf>
    <xf numFmtId="0" fontId="0" fillId="0" borderId="12" xfId="0" applyFill="1" applyBorder="1">
      <alignment vertical="center"/>
      <protection locked="0"/>
    </xf>
    <xf numFmtId="0" fontId="0" fillId="0" borderId="12" xfId="0" applyFill="1" applyBorder="1" applyAlignment="1">
      <alignment horizontal="center" vertical="center"/>
      <protection locked="0"/>
    </xf>
    <xf numFmtId="179" fontId="0" fillId="0" borderId="12" xfId="0" applyNumberFormat="1" applyFill="1" applyBorder="1" applyAlignment="1">
      <alignment horizontal="center" vertical="center"/>
      <protection locked="0"/>
    </xf>
    <xf numFmtId="0" fontId="0" fillId="0" borderId="0" xfId="0" applyFill="1">
      <alignment vertical="center"/>
      <protection locked="0"/>
    </xf>
    <xf numFmtId="0" fontId="0" fillId="0" borderId="0" xfId="0" applyFill="1" applyAlignment="1">
      <alignment horizontal="center" vertical="center"/>
      <protection locked="0"/>
    </xf>
    <xf numFmtId="49" fontId="0" fillId="0" borderId="0" xfId="0" applyNumberFormat="1" applyFill="1" applyAlignment="1">
      <alignment horizontal="center" vertical="center"/>
      <protection locked="0"/>
    </xf>
    <xf numFmtId="0" fontId="19" fillId="0" borderId="0" xfId="0" applyFont="1" applyAlignment="1">
      <alignment vertical="center" wrapText="1"/>
      <protection locked="0"/>
    </xf>
    <xf numFmtId="178" fontId="0" fillId="45" borderId="11" xfId="0" applyNumberFormat="1" applyFill="1" applyBorder="1" applyAlignment="1" applyProtection="1">
      <alignment horizontal="center" vertical="center"/>
    </xf>
    <xf numFmtId="185" fontId="0" fillId="48" borderId="11" xfId="0" applyNumberFormat="1" applyFill="1" applyBorder="1" applyAlignment="1" applyProtection="1">
      <alignment vertical="center"/>
    </xf>
    <xf numFmtId="185" fontId="0" fillId="43" borderId="10" xfId="0" applyNumberFormat="1" applyFill="1" applyBorder="1" applyAlignment="1" applyProtection="1">
      <alignment horizontal="centerContinuous" vertical="center"/>
    </xf>
    <xf numFmtId="185" fontId="0" fillId="45" borderId="11" xfId="0" applyNumberFormat="1" applyFill="1" applyBorder="1" applyAlignment="1" applyProtection="1">
      <alignment horizontal="center" vertical="center"/>
    </xf>
    <xf numFmtId="184" fontId="0" fillId="48" borderId="11" xfId="0" applyNumberFormat="1" applyFill="1" applyBorder="1" applyAlignment="1" applyProtection="1">
      <alignment vertical="center"/>
    </xf>
    <xf numFmtId="184" fontId="33" fillId="45" borderId="11" xfId="47" applyNumberFormat="1" applyFont="1" applyFill="1" applyBorder="1" applyAlignment="1" applyProtection="1">
      <alignment horizontal="center" vertical="center"/>
    </xf>
    <xf numFmtId="180" fontId="0" fillId="43" borderId="18" xfId="0" applyNumberFormat="1" applyFill="1" applyBorder="1" applyAlignment="1" applyProtection="1">
      <alignment horizontal="centerContinuous" vertical="center"/>
    </xf>
    <xf numFmtId="180" fontId="0" fillId="43" borderId="12" xfId="0" applyNumberFormat="1" applyFill="1" applyBorder="1" applyAlignment="1" applyProtection="1">
      <alignment horizontal="center" vertical="center"/>
    </xf>
    <xf numFmtId="180" fontId="33" fillId="45" borderId="11" xfId="52" applyNumberFormat="1" applyFont="1" applyFill="1" applyBorder="1" applyAlignment="1" applyProtection="1">
      <alignment horizontal="center" vertical="center"/>
    </xf>
    <xf numFmtId="0" fontId="0" fillId="0" borderId="12" xfId="0" applyFill="1" applyBorder="1" applyAlignment="1">
      <alignment horizontal="left" vertical="center" wrapText="1"/>
      <protection locked="0"/>
    </xf>
    <xf numFmtId="178" fontId="0" fillId="43" borderId="12" xfId="0" applyNumberFormat="1" applyFill="1" applyBorder="1" applyAlignment="1" applyProtection="1">
      <alignment horizontal="center" vertical="center"/>
    </xf>
    <xf numFmtId="180" fontId="0" fillId="43" borderId="10" xfId="0" applyNumberFormat="1" applyFill="1" applyBorder="1" applyAlignment="1" applyProtection="1">
      <alignment horizontal="centerContinuous" vertical="center"/>
    </xf>
    <xf numFmtId="180" fontId="32" fillId="45" borderId="11" xfId="52" applyNumberFormat="1" applyFont="1" applyFill="1" applyBorder="1" applyAlignment="1" applyProtection="1">
      <alignment horizontal="center" vertical="center"/>
    </xf>
    <xf numFmtId="0" fontId="0" fillId="48" borderId="25" xfId="0" applyNumberFormat="1" applyFill="1" applyBorder="1" applyAlignment="1" applyProtection="1">
      <alignment vertical="center"/>
    </xf>
    <xf numFmtId="0" fontId="0" fillId="43" borderId="23" xfId="0" applyNumberFormat="1" applyFill="1" applyBorder="1" applyAlignment="1" applyProtection="1">
      <alignment horizontal="centerContinuous" vertical="center"/>
    </xf>
    <xf numFmtId="0" fontId="0" fillId="0" borderId="24" xfId="0" applyNumberFormat="1" applyFill="1" applyBorder="1" applyAlignment="1" applyProtection="1">
      <alignment vertical="center"/>
    </xf>
    <xf numFmtId="0" fontId="30" fillId="42" borderId="27" xfId="0" applyFont="1" applyFill="1" applyBorder="1" applyAlignment="1">
      <alignment horizontal="center" vertical="center" wrapText="1"/>
      <protection locked="0"/>
    </xf>
    <xf numFmtId="185" fontId="0" fillId="43" borderId="23" xfId="0" applyNumberFormat="1" applyFill="1" applyBorder="1" applyAlignment="1" applyProtection="1">
      <alignment horizontal="centerContinuous" vertical="center"/>
    </xf>
    <xf numFmtId="185" fontId="0" fillId="0" borderId="24" xfId="0" applyNumberFormat="1" applyFill="1" applyBorder="1" applyAlignment="1" applyProtection="1">
      <alignment horizontal="center" vertical="center" wrapText="1"/>
    </xf>
    <xf numFmtId="185" fontId="0" fillId="0" borderId="0" xfId="0" applyNumberFormat="1" applyFill="1" applyAlignment="1" applyProtection="1">
      <alignment vertical="center"/>
    </xf>
    <xf numFmtId="184" fontId="0" fillId="0" borderId="0" xfId="0" applyNumberFormat="1" applyFill="1" applyAlignment="1" applyProtection="1">
      <alignment vertical="center"/>
    </xf>
    <xf numFmtId="0" fontId="0" fillId="0" borderId="10" xfId="0" applyNumberFormat="1" applyFill="1" applyBorder="1" applyAlignment="1" applyProtection="1">
      <alignment vertical="center"/>
    </xf>
    <xf numFmtId="0" fontId="0" fillId="43" borderId="28" xfId="0" applyNumberFormat="1" applyFill="1" applyBorder="1" applyAlignment="1" applyProtection="1">
      <alignment horizontal="center" vertical="center"/>
    </xf>
    <xf numFmtId="179" fontId="0" fillId="0" borderId="28" xfId="0" applyNumberFormat="1" applyBorder="1" applyAlignment="1">
      <alignment horizontal="center" vertical="center"/>
      <protection locked="0"/>
    </xf>
    <xf numFmtId="179" fontId="0" fillId="0" borderId="28" xfId="0" applyNumberFormat="1" applyFill="1" applyBorder="1" applyAlignment="1">
      <alignment horizontal="center" vertical="center"/>
      <protection locked="0"/>
    </xf>
    <xf numFmtId="0" fontId="0" fillId="41" borderId="28" xfId="0" applyFill="1" applyBorder="1">
      <alignment vertical="center"/>
      <protection locked="0"/>
    </xf>
    <xf numFmtId="0" fontId="0" fillId="47" borderId="28" xfId="0" applyFill="1" applyBorder="1">
      <alignment vertical="center"/>
      <protection locked="0"/>
    </xf>
    <xf numFmtId="0" fontId="0" fillId="39" borderId="28" xfId="0" applyFill="1" applyBorder="1">
      <alignment vertical="center"/>
      <protection locked="0"/>
    </xf>
    <xf numFmtId="0" fontId="0" fillId="40" borderId="28" xfId="0" applyFill="1" applyBorder="1">
      <alignment vertical="center"/>
      <protection locked="0"/>
    </xf>
    <xf numFmtId="0" fontId="0" fillId="33" borderId="28" xfId="0" applyFill="1" applyBorder="1">
      <alignment vertical="center"/>
      <protection locked="0"/>
    </xf>
    <xf numFmtId="0" fontId="0" fillId="34" borderId="28" xfId="0" applyFill="1" applyBorder="1">
      <alignment vertical="center"/>
      <protection locked="0"/>
    </xf>
    <xf numFmtId="0" fontId="0" fillId="35" borderId="28" xfId="0" applyFill="1" applyBorder="1">
      <alignment vertical="center"/>
      <protection locked="0"/>
    </xf>
    <xf numFmtId="0" fontId="0" fillId="36" borderId="28" xfId="0" applyFill="1" applyBorder="1">
      <alignment vertical="center"/>
      <protection locked="0"/>
    </xf>
    <xf numFmtId="0" fontId="0" fillId="49" borderId="28" xfId="0" applyFill="1" applyBorder="1">
      <alignment vertical="center"/>
      <protection locked="0"/>
    </xf>
    <xf numFmtId="0" fontId="0" fillId="50" borderId="28" xfId="0" applyFill="1" applyBorder="1">
      <alignment vertical="center"/>
      <protection locked="0"/>
    </xf>
    <xf numFmtId="0" fontId="0" fillId="51" borderId="28" xfId="0" applyFill="1" applyBorder="1">
      <alignment vertical="center"/>
      <protection locked="0"/>
    </xf>
    <xf numFmtId="0" fontId="0" fillId="52" borderId="28" xfId="0" applyFill="1" applyBorder="1">
      <alignment vertical="center"/>
      <protection locked="0"/>
    </xf>
    <xf numFmtId="0" fontId="0" fillId="37" borderId="28" xfId="0" applyFill="1" applyBorder="1">
      <alignment vertical="center"/>
      <protection locked="0"/>
    </xf>
    <xf numFmtId="0" fontId="0" fillId="38" borderId="28" xfId="0" applyFill="1" applyBorder="1">
      <alignment vertical="center"/>
      <protection locked="0"/>
    </xf>
    <xf numFmtId="185" fontId="0" fillId="43" borderId="28" xfId="0" applyNumberFormat="1" applyFill="1" applyBorder="1" applyAlignment="1" applyProtection="1">
      <alignment horizontal="center" vertical="center"/>
    </xf>
    <xf numFmtId="0" fontId="0" fillId="0" borderId="11" xfId="0" applyNumberFormat="1" applyFill="1" applyBorder="1" applyAlignment="1" applyProtection="1">
      <alignment horizontal="left" vertical="center" indent="1"/>
    </xf>
    <xf numFmtId="0" fontId="0" fillId="0" borderId="11" xfId="0" applyNumberFormat="1" applyFill="1" applyBorder="1" applyAlignment="1" applyProtection="1">
      <alignment horizontal="left" vertical="center"/>
    </xf>
    <xf numFmtId="0" fontId="0" fillId="0" borderId="11" xfId="0" applyNumberFormat="1" applyFill="1" applyBorder="1" applyAlignment="1" applyProtection="1">
      <alignment horizontal="left" vertical="center" indent="2"/>
    </xf>
    <xf numFmtId="0" fontId="0" fillId="0" borderId="11" xfId="0" applyNumberFormat="1" applyFill="1" applyBorder="1" applyAlignment="1" applyProtection="1">
      <alignment horizontal="left" vertical="center" indent="3"/>
    </xf>
    <xf numFmtId="185" fontId="0" fillId="0" borderId="0" xfId="0" applyNumberFormat="1" applyFont="1" applyAlignment="1" applyProtection="1">
      <alignment horizontal="center" vertical="center" wrapText="1"/>
    </xf>
    <xf numFmtId="0" fontId="0" fillId="46" borderId="11" xfId="0" applyNumberFormat="1" applyFill="1" applyBorder="1" applyAlignment="1" applyProtection="1">
      <alignment vertical="center"/>
    </xf>
    <xf numFmtId="0" fontId="0" fillId="0" borderId="13" xfId="0" applyNumberFormat="1" applyFill="1" applyBorder="1" applyAlignment="1" applyProtection="1">
      <alignment horizontal="center" vertical="center"/>
    </xf>
    <xf numFmtId="0" fontId="0" fillId="0" borderId="14" xfId="0" applyNumberFormat="1" applyFill="1" applyBorder="1" applyAlignment="1" applyProtection="1">
      <alignment horizontal="center" vertical="center"/>
    </xf>
    <xf numFmtId="0" fontId="0" fillId="0" borderId="19" xfId="0" applyNumberFormat="1" applyFill="1" applyBorder="1" applyAlignment="1" applyProtection="1">
      <alignment horizontal="center" vertical="center"/>
    </xf>
    <xf numFmtId="0" fontId="0" fillId="0" borderId="13" xfId="0" applyNumberFormat="1" applyFill="1" applyBorder="1" applyAlignment="1" applyProtection="1">
      <alignment horizontal="center" vertical="center" wrapText="1"/>
    </xf>
    <xf numFmtId="0" fontId="0" fillId="0" borderId="24" xfId="0" applyNumberFormat="1" applyFill="1" applyBorder="1" applyAlignment="1" applyProtection="1">
      <alignment horizontal="center" vertical="center" wrapText="1"/>
    </xf>
    <xf numFmtId="0" fontId="0" fillId="0" borderId="10" xfId="0" applyNumberFormat="1" applyFill="1" applyBorder="1" applyAlignment="1" applyProtection="1">
      <alignment horizontal="center" vertical="center"/>
    </xf>
    <xf numFmtId="0" fontId="32" fillId="45" borderId="11" xfId="52" applyNumberFormat="1" applyFont="1" applyFill="1" applyBorder="1" applyAlignment="1" applyProtection="1">
      <alignment horizontal="center" vertical="center"/>
    </xf>
    <xf numFmtId="0" fontId="33" fillId="45" borderId="11" xfId="52" applyNumberFormat="1" applyFont="1" applyFill="1" applyBorder="1" applyAlignment="1" applyProtection="1">
      <alignment horizontal="center" vertical="center"/>
    </xf>
    <xf numFmtId="0" fontId="33" fillId="45" borderId="11" xfId="47" applyNumberFormat="1" applyFont="1" applyFill="1" applyBorder="1" applyAlignment="1" applyProtection="1">
      <alignment horizontal="center" vertical="center"/>
    </xf>
    <xf numFmtId="0" fontId="0" fillId="0" borderId="30" xfId="0" applyNumberFormat="1" applyFill="1" applyBorder="1" applyAlignment="1" applyProtection="1">
      <alignment horizontal="center" vertical="center"/>
    </xf>
    <xf numFmtId="0" fontId="29" fillId="0" borderId="0" xfId="0" applyFont="1" applyFill="1" applyAlignment="1">
      <alignment horizontal="left" vertical="center" indent="2" shrinkToFit="1"/>
      <protection locked="0"/>
    </xf>
    <xf numFmtId="0" fontId="27" fillId="0" borderId="0" xfId="53" applyFont="1" applyAlignment="1">
      <alignment horizontal="left" vertical="center" shrinkToFit="1"/>
      <protection locked="0"/>
    </xf>
    <xf numFmtId="0" fontId="29" fillId="0" borderId="0" xfId="53" applyFont="1" applyFill="1" applyAlignment="1">
      <alignment horizontal="left" vertical="center" indent="2" shrinkToFit="1"/>
      <protection locked="0"/>
    </xf>
    <xf numFmtId="0" fontId="27" fillId="0" borderId="0" xfId="0" applyFont="1" applyFill="1" applyAlignment="1">
      <alignment horizontal="left" vertical="center" shrinkToFit="1"/>
      <protection locked="0"/>
    </xf>
    <xf numFmtId="0" fontId="0" fillId="0" borderId="16" xfId="0" applyFill="1" applyBorder="1" applyAlignment="1">
      <alignment wrapText="1"/>
      <protection locked="0"/>
    </xf>
    <xf numFmtId="14" fontId="30" fillId="42" borderId="10" xfId="0" applyNumberFormat="1" applyFont="1" applyFill="1" applyBorder="1" applyAlignment="1">
      <alignment horizontal="center" vertical="center"/>
      <protection locked="0"/>
    </xf>
    <xf numFmtId="14" fontId="30" fillId="42" borderId="22" xfId="0" applyNumberFormat="1" applyFont="1" applyFill="1" applyBorder="1" applyAlignment="1">
      <alignment horizontal="center" vertical="center"/>
      <protection locked="0"/>
    </xf>
    <xf numFmtId="0" fontId="0" fillId="48" borderId="10" xfId="0" applyNumberFormat="1" applyFill="1" applyBorder="1" applyAlignment="1" applyProtection="1">
      <alignment horizontal="center" vertical="center"/>
    </xf>
    <xf numFmtId="0" fontId="0" fillId="48" borderId="11" xfId="0" applyNumberFormat="1" applyFill="1" applyBorder="1" applyAlignment="1" applyProtection="1">
      <alignment horizontal="center" vertical="center"/>
    </xf>
    <xf numFmtId="0" fontId="0" fillId="43" borderId="20" xfId="0" applyNumberFormat="1" applyFill="1" applyBorder="1" applyAlignment="1" applyProtection="1">
      <alignment horizontal="center" vertical="center"/>
    </xf>
    <xf numFmtId="0" fontId="0" fillId="43" borderId="21" xfId="0" applyNumberFormat="1" applyFill="1" applyBorder="1" applyAlignment="1" applyProtection="1">
      <alignment horizontal="center" vertical="center"/>
    </xf>
    <xf numFmtId="0" fontId="0" fillId="43" borderId="29" xfId="0" applyNumberFormat="1" applyFill="1" applyBorder="1" applyAlignment="1" applyProtection="1">
      <alignment horizontal="center" vertical="center"/>
    </xf>
    <xf numFmtId="0" fontId="0" fillId="43" borderId="15" xfId="0" applyNumberFormat="1" applyFill="1" applyBorder="1" applyAlignment="1" applyProtection="1">
      <alignment horizontal="center" vertical="center"/>
    </xf>
    <xf numFmtId="0" fontId="31" fillId="45" borderId="28" xfId="0" applyNumberFormat="1" applyFont="1" applyFill="1" applyBorder="1" applyAlignment="1" applyProtection="1">
      <alignment horizontal="center" vertical="center"/>
    </xf>
    <xf numFmtId="0" fontId="0" fillId="43" borderId="12" xfId="0" applyNumberFormat="1" applyFill="1" applyBorder="1" applyAlignment="1" applyProtection="1">
      <alignment horizontal="center" vertical="center" wrapText="1"/>
    </xf>
    <xf numFmtId="0" fontId="0" fillId="43" borderId="10" xfId="0" applyNumberFormat="1" applyFill="1" applyBorder="1" applyAlignment="1" applyProtection="1">
      <alignment horizontal="center" vertical="center" wrapText="1"/>
    </xf>
    <xf numFmtId="184" fontId="0" fillId="43" borderId="20" xfId="0" applyNumberFormat="1" applyFill="1" applyBorder="1" applyAlignment="1" applyProtection="1">
      <alignment horizontal="center" vertical="center"/>
    </xf>
    <xf numFmtId="184" fontId="0" fillId="43" borderId="21" xfId="0" applyNumberFormat="1" applyFill="1" applyBorder="1" applyAlignment="1" applyProtection="1">
      <alignment horizontal="center" vertical="center"/>
    </xf>
    <xf numFmtId="0" fontId="0" fillId="43" borderId="26" xfId="0" applyNumberFormat="1" applyFill="1" applyBorder="1" applyAlignment="1" applyProtection="1">
      <alignment horizontal="center" vertical="center"/>
    </xf>
  </cellXfs>
  <cellStyles count="55">
    <cellStyle name="0.0%" xfId="51"/>
    <cellStyle name="20% - アクセント 1" xfId="24" builtinId="30" hidden="1"/>
    <cellStyle name="20% - アクセント 2" xfId="28" builtinId="34" hidden="1"/>
    <cellStyle name="20% - アクセント 3" xfId="32" builtinId="38" hidden="1"/>
    <cellStyle name="20% - アクセント 4" xfId="36" builtinId="42" hidden="1"/>
    <cellStyle name="20% - アクセント 5" xfId="40" builtinId="46" hidden="1"/>
    <cellStyle name="20% - アクセント 6" xfId="44" builtinId="50" hidden="1"/>
    <cellStyle name="40% - アクセント 1" xfId="25" builtinId="31" hidden="1"/>
    <cellStyle name="40% - アクセント 2" xfId="29" builtinId="35" hidden="1"/>
    <cellStyle name="40% - アクセント 3" xfId="33" builtinId="39" hidden="1"/>
    <cellStyle name="40% - アクセント 4" xfId="37" builtinId="43" hidden="1"/>
    <cellStyle name="40% - アクセント 5" xfId="41" builtinId="47" hidden="1"/>
    <cellStyle name="40% - アクセント 6" xfId="45" builtinId="51" hidden="1"/>
    <cellStyle name="60% - アクセント 1" xfId="26" builtinId="32" hidden="1"/>
    <cellStyle name="60% - アクセント 2" xfId="30" builtinId="36" hidden="1"/>
    <cellStyle name="60% - アクセント 3" xfId="34" builtinId="40" hidden="1"/>
    <cellStyle name="60% - アクセント 4" xfId="38" builtinId="44" hidden="1"/>
    <cellStyle name="60% - アクセント 5" xfId="42" builtinId="48" hidden="1"/>
    <cellStyle name="60% - アクセント 6" xfId="46" builtinId="52" hidden="1"/>
    <cellStyle name="Error" xfId="54"/>
    <cellStyle name="アクセント 1" xfId="23" builtinId="29" hidden="1"/>
    <cellStyle name="アクセント 2" xfId="27" builtinId="33" hidden="1"/>
    <cellStyle name="アクセント 3" xfId="31" builtinId="37" hidden="1"/>
    <cellStyle name="アクセント 4" xfId="35" builtinId="41" hidden="1"/>
    <cellStyle name="アクセント 5" xfId="39" builtinId="45" hidden="1"/>
    <cellStyle name="アクセント 6" xfId="43" builtinId="49" hidden="1"/>
    <cellStyle name="タイトル" xfId="6" builtinId="15" hidden="1"/>
    <cellStyle name="チェック セル" xfId="18" builtinId="23" hidden="1"/>
    <cellStyle name="どちらでもない" xfId="13" builtinId="28" hidden="1"/>
    <cellStyle name="パーセント" xfId="5" builtinId="5" hidden="1"/>
    <cellStyle name="パーセント" xfId="52"/>
    <cellStyle name="ハイパーリンク" xfId="48" builtinId="8" hidden="1"/>
    <cellStyle name="ハイパーリンク" xfId="53" builtinId="8"/>
    <cellStyle name="メモ" xfId="20" builtinId="10" hidden="1"/>
    <cellStyle name="リンク セル" xfId="17" builtinId="24" hidden="1"/>
    <cellStyle name="悪い" xfId="12" builtinId="27" hidden="1"/>
    <cellStyle name="計算" xfId="16" builtinId="22" hidden="1"/>
    <cellStyle name="警告文" xfId="19" builtinId="11" hidden="1"/>
    <cellStyle name="桁区切り" xfId="2" builtinId="6" hidden="1"/>
    <cellStyle name="桁区切り [0.00]" xfId="1" builtinId="3" hidden="1"/>
    <cellStyle name="見出し 1" xfId="7" builtinId="16" hidden="1"/>
    <cellStyle name="見出し 2" xfId="8" builtinId="17" hidden="1"/>
    <cellStyle name="見出し 3" xfId="9" builtinId="18" hidden="1"/>
    <cellStyle name="見出し 4" xfId="10" builtinId="19" hidden="1"/>
    <cellStyle name="集計" xfId="22" builtinId="25" hidden="1"/>
    <cellStyle name="出力" xfId="15" builtinId="21" hidden="1"/>
    <cellStyle name="数値" xfId="47"/>
    <cellStyle name="説明文" xfId="21" builtinId="53" hidden="1"/>
    <cellStyle name="通貨" xfId="4" builtinId="7" hidden="1"/>
    <cellStyle name="通貨" xfId="50"/>
    <cellStyle name="通貨 [0.00]" xfId="3" builtinId="4" hidden="1"/>
    <cellStyle name="入力" xfId="14" builtinId="20" hidden="1"/>
    <cellStyle name="標準" xfId="0" builtinId="0" customBuiltin="1"/>
    <cellStyle name="表示済みのハイパーリンク" xfId="49" builtinId="9" hidden="1"/>
    <cellStyle name="良い" xfId="11" builtinId="26" hidde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FFFFFF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305496"/>
      <color rgb="FFFFCC99"/>
      <color rgb="FF808080"/>
      <color rgb="FFFF6699"/>
      <color rgb="FFFFD5D5"/>
      <color rgb="FFFFF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76200</xdr:colOff>
          <xdr:row>0</xdr:row>
          <xdr:rowOff>238125</xdr:rowOff>
        </xdr:from>
        <xdr:to>
          <xdr:col>40</xdr:col>
          <xdr:colOff>85725</xdr:colOff>
          <xdr:row>2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目次生成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4"/>
  </sheetPr>
  <dimension ref="A2:AO33"/>
  <sheetViews>
    <sheetView showGridLines="0" zoomScale="85" zoomScaleNormal="85" workbookViewId="0">
      <selection activeCell="G60" sqref="G60"/>
    </sheetView>
  </sheetViews>
  <sheetFormatPr defaultColWidth="3.625" defaultRowHeight="19.5" customHeight="1" x14ac:dyDescent="0.4"/>
  <cols>
    <col min="1" max="16384" width="3.625" style="7"/>
  </cols>
  <sheetData>
    <row r="2" spans="2:12" ht="19.5" customHeight="1" x14ac:dyDescent="0.4">
      <c r="B2" s="116" t="s">
        <v>144</v>
      </c>
      <c r="C2" s="116"/>
      <c r="D2" s="116"/>
      <c r="E2" s="116"/>
      <c r="F2" s="116"/>
      <c r="G2" s="116"/>
      <c r="H2" s="116"/>
      <c r="I2" s="116"/>
      <c r="J2" s="116"/>
      <c r="K2" s="116"/>
      <c r="L2" s="116"/>
    </row>
    <row r="3" spans="2:12" ht="19.5" customHeight="1" x14ac:dyDescent="0.4">
      <c r="B3" s="117" t="s">
        <v>145</v>
      </c>
      <c r="C3" s="117"/>
      <c r="D3" s="117"/>
      <c r="E3" s="117"/>
      <c r="F3" s="117"/>
      <c r="G3" s="117"/>
      <c r="H3" s="117"/>
      <c r="I3" s="117"/>
      <c r="J3" s="117"/>
      <c r="K3" s="117"/>
      <c r="L3" s="117"/>
    </row>
    <row r="4" spans="2:12" ht="19.5" customHeight="1" x14ac:dyDescent="0.4">
      <c r="B4" s="115"/>
      <c r="C4" s="115"/>
      <c r="D4" s="115"/>
      <c r="E4" s="115"/>
      <c r="F4" s="115"/>
      <c r="G4" s="115"/>
      <c r="H4" s="115"/>
      <c r="I4" s="115"/>
      <c r="J4" s="115"/>
      <c r="K4" s="115"/>
      <c r="L4" s="115"/>
    </row>
    <row r="5" spans="2:12" ht="19.5" customHeight="1" x14ac:dyDescent="0.4">
      <c r="B5" s="118"/>
      <c r="C5" s="118"/>
      <c r="D5" s="118"/>
      <c r="E5" s="118"/>
      <c r="F5" s="118"/>
      <c r="G5" s="118"/>
      <c r="H5" s="118"/>
      <c r="I5" s="118"/>
      <c r="J5" s="118"/>
      <c r="K5" s="118"/>
      <c r="L5" s="118"/>
    </row>
    <row r="6" spans="2:12" ht="19.5" customHeight="1" x14ac:dyDescent="0.4">
      <c r="B6" s="115"/>
      <c r="C6" s="115"/>
      <c r="D6" s="115"/>
      <c r="E6" s="115"/>
      <c r="F6" s="115"/>
      <c r="G6" s="115"/>
      <c r="H6" s="115"/>
      <c r="I6" s="115"/>
      <c r="J6" s="115"/>
      <c r="K6" s="115"/>
      <c r="L6" s="115"/>
    </row>
    <row r="7" spans="2:12" ht="19.5" customHeight="1" x14ac:dyDescent="0.4">
      <c r="B7" s="115"/>
      <c r="C7" s="115"/>
      <c r="D7" s="115"/>
      <c r="E7" s="115"/>
      <c r="F7" s="115"/>
      <c r="G7" s="115"/>
      <c r="H7" s="115"/>
      <c r="I7" s="115"/>
      <c r="J7" s="115"/>
      <c r="K7" s="115"/>
      <c r="L7" s="115"/>
    </row>
    <row r="8" spans="2:12" ht="19.5" customHeight="1" x14ac:dyDescent="0.4">
      <c r="B8" s="115"/>
      <c r="C8" s="115"/>
      <c r="D8" s="115"/>
      <c r="E8" s="115"/>
      <c r="F8" s="115"/>
      <c r="G8" s="115"/>
      <c r="H8" s="115"/>
      <c r="I8" s="115"/>
      <c r="J8" s="115"/>
      <c r="K8" s="115"/>
      <c r="L8" s="115"/>
    </row>
    <row r="9" spans="2:12" ht="19.5" customHeight="1" x14ac:dyDescent="0.4">
      <c r="B9" s="115"/>
      <c r="C9" s="115"/>
      <c r="D9" s="115"/>
      <c r="E9" s="115"/>
      <c r="F9" s="115"/>
      <c r="G9" s="115"/>
      <c r="H9" s="115"/>
      <c r="I9" s="115"/>
      <c r="J9" s="115"/>
      <c r="K9" s="115"/>
      <c r="L9" s="115"/>
    </row>
    <row r="10" spans="2:12" ht="19.5" customHeight="1" x14ac:dyDescent="0.4">
      <c r="B10" s="115"/>
      <c r="C10" s="115"/>
      <c r="D10" s="115"/>
      <c r="E10" s="115"/>
      <c r="F10" s="115"/>
      <c r="G10" s="115"/>
      <c r="H10" s="115"/>
      <c r="I10" s="115"/>
      <c r="J10" s="115"/>
      <c r="K10" s="115"/>
      <c r="L10" s="115"/>
    </row>
    <row r="11" spans="2:12" ht="19.5" customHeight="1" x14ac:dyDescent="0.4">
      <c r="B11" s="118"/>
      <c r="C11" s="118"/>
      <c r="D11" s="118"/>
      <c r="E11" s="118"/>
      <c r="F11" s="118"/>
      <c r="G11" s="118"/>
      <c r="H11" s="118"/>
      <c r="I11" s="118"/>
      <c r="J11" s="118"/>
      <c r="K11" s="118"/>
      <c r="L11" s="118"/>
    </row>
    <row r="12" spans="2:12" ht="19.5" customHeight="1" x14ac:dyDescent="0.4">
      <c r="B12" s="115"/>
      <c r="C12" s="115"/>
      <c r="D12" s="115"/>
      <c r="E12" s="115"/>
      <c r="F12" s="115"/>
      <c r="G12" s="115"/>
      <c r="H12" s="115"/>
      <c r="I12" s="115"/>
      <c r="J12" s="115"/>
      <c r="K12" s="115"/>
      <c r="L12" s="115"/>
    </row>
    <row r="31" spans="1:41" ht="19.5" customHeight="1" x14ac:dyDescent="0.4">
      <c r="A31" s="8" t="s">
        <v>37</v>
      </c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</row>
    <row r="32" spans="1:41" ht="19.5" customHeight="1" thickBot="1" x14ac:dyDescent="0.45">
      <c r="A32" s="10" t="s">
        <v>36</v>
      </c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</row>
    <row r="33" spans="2:2" ht="19.5" customHeight="1" thickTop="1" x14ac:dyDescent="0.4">
      <c r="B33" s="7" t="s">
        <v>38</v>
      </c>
    </row>
  </sheetData>
  <mergeCells count="11">
    <mergeCell ref="B8:L8"/>
    <mergeCell ref="B9:L9"/>
    <mergeCell ref="B10:L10"/>
    <mergeCell ref="B11:L11"/>
    <mergeCell ref="B12:L12"/>
    <mergeCell ref="B7:L7"/>
    <mergeCell ref="B2:L2"/>
    <mergeCell ref="B3:L3"/>
    <mergeCell ref="B4:L4"/>
    <mergeCell ref="B5:L5"/>
    <mergeCell ref="B6:L6"/>
  </mergeCells>
  <phoneticPr fontId="22"/>
  <hyperlinks>
    <hyperlink ref="B2:L2" location="#A31" display="#A31"/>
    <hyperlink ref="B3:L3" location="#A32" display="#A32"/>
  </hyperlink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eet4.目次生成">
                <anchor moveWithCells="1" sizeWithCells="1">
                  <from>
                    <xdr:col>36</xdr:col>
                    <xdr:colOff>76200</xdr:colOff>
                    <xdr:row>0</xdr:row>
                    <xdr:rowOff>238125</xdr:rowOff>
                  </from>
                  <to>
                    <xdr:col>40</xdr:col>
                    <xdr:colOff>85725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sqref="A1:A38"/>
    </sheetView>
  </sheetViews>
  <sheetFormatPr defaultRowHeight="16.5" x14ac:dyDescent="0.4"/>
  <sheetData/>
  <sortState ref="A1:A38">
    <sortCondition ref="A1"/>
  </sortState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9"/>
  <sheetViews>
    <sheetView workbookViewId="0">
      <pane ySplit="1" topLeftCell="A2" activePane="bottomLeft" state="frozen"/>
      <selection activeCell="B7" sqref="B7"/>
      <selection pane="bottomLeft" activeCell="C31" sqref="C31"/>
    </sheetView>
  </sheetViews>
  <sheetFormatPr defaultRowHeight="15" customHeight="1" x14ac:dyDescent="0.4"/>
  <cols>
    <col min="1" max="1" width="9" style="6"/>
    <col min="2" max="2" width="70.625" style="6" customWidth="1"/>
    <col min="3" max="3" width="9" style="5"/>
    <col min="4" max="16384" width="9" style="6"/>
  </cols>
  <sheetData>
    <row r="1" spans="1:2" ht="15" customHeight="1" x14ac:dyDescent="0.4">
      <c r="A1" s="3" t="s">
        <v>26</v>
      </c>
      <c r="B1" s="4" t="s">
        <v>27</v>
      </c>
    </row>
    <row r="2" spans="1:2" ht="15" customHeight="1" x14ac:dyDescent="0.4">
      <c r="A2" s="6">
        <v>1</v>
      </c>
      <c r="B2" s="6" t="s">
        <v>28</v>
      </c>
    </row>
    <row r="3" spans="1:2" ht="15" customHeight="1" x14ac:dyDescent="0.4">
      <c r="A3" s="6">
        <v>2</v>
      </c>
      <c r="B3" s="6" t="s">
        <v>29</v>
      </c>
    </row>
    <row r="4" spans="1:2" ht="15" customHeight="1" x14ac:dyDescent="0.4">
      <c r="A4" s="6">
        <v>3</v>
      </c>
      <c r="B4" s="6" t="s">
        <v>30</v>
      </c>
    </row>
    <row r="5" spans="1:2" ht="15" customHeight="1" x14ac:dyDescent="0.4">
      <c r="A5" s="6">
        <v>4</v>
      </c>
    </row>
    <row r="6" spans="1:2" ht="15" customHeight="1" x14ac:dyDescent="0.4">
      <c r="A6" s="6">
        <v>5</v>
      </c>
    </row>
    <row r="7" spans="1:2" ht="15" customHeight="1" x14ac:dyDescent="0.4">
      <c r="A7" s="6">
        <v>100</v>
      </c>
      <c r="B7" s="6" t="s">
        <v>32</v>
      </c>
    </row>
    <row r="8" spans="1:2" ht="15" customHeight="1" x14ac:dyDescent="0.4">
      <c r="A8" s="6">
        <v>200</v>
      </c>
      <c r="B8" s="6" t="s">
        <v>31</v>
      </c>
    </row>
    <row r="10" spans="1:2" ht="15" customHeight="1" x14ac:dyDescent="0.4">
      <c r="A10" s="6">
        <v>50</v>
      </c>
      <c r="B10" s="6" t="s">
        <v>43</v>
      </c>
    </row>
    <row r="11" spans="1:2" ht="15" customHeight="1" x14ac:dyDescent="0.4">
      <c r="A11" s="6">
        <v>400</v>
      </c>
      <c r="B11" s="58" t="s">
        <v>90</v>
      </c>
    </row>
    <row r="12" spans="1:2" ht="15" customHeight="1" x14ac:dyDescent="0.4">
      <c r="A12" s="6">
        <v>401</v>
      </c>
      <c r="B12" s="58" t="s">
        <v>89</v>
      </c>
    </row>
    <row r="13" spans="1:2" ht="15" customHeight="1" x14ac:dyDescent="0.4">
      <c r="A13" s="6">
        <v>402</v>
      </c>
      <c r="B13" s="6" t="s">
        <v>91</v>
      </c>
    </row>
    <row r="14" spans="1:2" ht="15" customHeight="1" x14ac:dyDescent="0.4">
      <c r="A14" s="6">
        <v>403</v>
      </c>
      <c r="B14" s="6" t="s">
        <v>92</v>
      </c>
    </row>
    <row r="27" spans="1:2" ht="15" customHeight="1" x14ac:dyDescent="0.4">
      <c r="A27" s="6">
        <v>13</v>
      </c>
      <c r="B27" s="6" t="s">
        <v>33</v>
      </c>
    </row>
    <row r="28" spans="1:2" ht="15" customHeight="1" x14ac:dyDescent="0.4">
      <c r="A28" s="6">
        <v>91</v>
      </c>
      <c r="B28" s="6" t="s">
        <v>34</v>
      </c>
    </row>
    <row r="29" spans="1:2" ht="15" customHeight="1" x14ac:dyDescent="0.4">
      <c r="A29" s="6">
        <v>1004</v>
      </c>
      <c r="B29" s="6" t="s">
        <v>35</v>
      </c>
    </row>
  </sheetData>
  <phoneticPr fontId="2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1"/>
  <sheetViews>
    <sheetView tabSelected="1" workbookViewId="0">
      <selection activeCell="A5" sqref="A5:XFD6"/>
    </sheetView>
  </sheetViews>
  <sheetFormatPr defaultRowHeight="20.100000000000001" customHeight="1" x14ac:dyDescent="0.4"/>
  <cols>
    <col min="1" max="1" width="10.25" bestFit="1" customWidth="1"/>
    <col min="2" max="4" width="23.125" customWidth="1"/>
    <col min="5" max="6" width="34.875" bestFit="1" customWidth="1"/>
  </cols>
  <sheetData>
    <row r="1" spans="1:6" ht="20.100000000000001" customHeight="1" x14ac:dyDescent="0.4">
      <c r="A1" s="21" t="s">
        <v>132</v>
      </c>
      <c r="B1" s="21" t="s">
        <v>133</v>
      </c>
      <c r="C1" s="21" t="s">
        <v>134</v>
      </c>
      <c r="D1" s="21" t="s">
        <v>135</v>
      </c>
      <c r="E1" s="21" t="s">
        <v>136</v>
      </c>
      <c r="F1" s="21" t="s">
        <v>137</v>
      </c>
    </row>
    <row r="2" spans="1:6" ht="20.100000000000001" customHeight="1" x14ac:dyDescent="0.4">
      <c r="A2" t="s">
        <v>150</v>
      </c>
      <c r="B2" t="s">
        <v>151</v>
      </c>
      <c r="C2" s="5" t="s">
        <v>151</v>
      </c>
      <c r="E2" t="s">
        <v>152</v>
      </c>
      <c r="F2" t="s">
        <v>152</v>
      </c>
    </row>
    <row r="3" spans="1:6" ht="20.100000000000001" customHeight="1" x14ac:dyDescent="0.4">
      <c r="A3" s="5" t="s">
        <v>153</v>
      </c>
      <c r="B3" t="s">
        <v>155</v>
      </c>
      <c r="C3" s="5" t="s">
        <v>155</v>
      </c>
      <c r="E3" t="s">
        <v>185</v>
      </c>
      <c r="F3" t="s">
        <v>185</v>
      </c>
    </row>
    <row r="4" spans="1:6" ht="20.100000000000001" customHeight="1" x14ac:dyDescent="0.4">
      <c r="A4" s="5" t="s">
        <v>154</v>
      </c>
      <c r="B4" t="s">
        <v>156</v>
      </c>
      <c r="C4" s="5" t="s">
        <v>156</v>
      </c>
      <c r="E4" t="s">
        <v>186</v>
      </c>
      <c r="F4" s="5" t="s">
        <v>186</v>
      </c>
    </row>
    <row r="5" spans="1:6" ht="20.100000000000001" customHeight="1" x14ac:dyDescent="0.4">
      <c r="A5" t="s">
        <v>242</v>
      </c>
      <c r="B5" t="s">
        <v>243</v>
      </c>
      <c r="E5" s="5" t="s">
        <v>243</v>
      </c>
      <c r="F5" s="5" t="s">
        <v>243</v>
      </c>
    </row>
    <row r="6" spans="1:6" ht="20.100000000000001" customHeight="1" x14ac:dyDescent="0.4">
      <c r="A6" t="s">
        <v>244</v>
      </c>
      <c r="B6" s="5" t="s">
        <v>245</v>
      </c>
      <c r="E6" s="5" t="s">
        <v>245</v>
      </c>
      <c r="F6" s="5" t="s">
        <v>245</v>
      </c>
    </row>
    <row r="7" spans="1:6" ht="20.100000000000001" customHeight="1" x14ac:dyDescent="0.4">
      <c r="A7" t="s">
        <v>157</v>
      </c>
      <c r="B7" t="s">
        <v>160</v>
      </c>
      <c r="E7" s="5" t="s">
        <v>160</v>
      </c>
      <c r="F7" s="5" t="s">
        <v>160</v>
      </c>
    </row>
    <row r="8" spans="1:6" ht="20.100000000000001" customHeight="1" x14ac:dyDescent="0.4">
      <c r="A8" s="5" t="s">
        <v>158</v>
      </c>
      <c r="B8" t="s">
        <v>161</v>
      </c>
      <c r="E8" s="5" t="s">
        <v>161</v>
      </c>
      <c r="F8" s="5" t="s">
        <v>161</v>
      </c>
    </row>
    <row r="9" spans="1:6" ht="20.100000000000001" customHeight="1" x14ac:dyDescent="0.4">
      <c r="A9" s="5" t="s">
        <v>159</v>
      </c>
      <c r="B9" t="s">
        <v>162</v>
      </c>
      <c r="E9" s="5" t="s">
        <v>162</v>
      </c>
      <c r="F9" s="5" t="s">
        <v>162</v>
      </c>
    </row>
    <row r="10" spans="1:6" ht="20.100000000000001" customHeight="1" x14ac:dyDescent="0.4">
      <c r="A10" t="s">
        <v>167</v>
      </c>
      <c r="B10" t="s">
        <v>163</v>
      </c>
      <c r="E10" s="5" t="s">
        <v>163</v>
      </c>
      <c r="F10" s="5" t="s">
        <v>163</v>
      </c>
    </row>
    <row r="11" spans="1:6" ht="20.100000000000001" customHeight="1" x14ac:dyDescent="0.4">
      <c r="A11" s="5" t="s">
        <v>168</v>
      </c>
      <c r="B11" t="s">
        <v>164</v>
      </c>
      <c r="E11" s="5" t="s">
        <v>164</v>
      </c>
      <c r="F11" s="5" t="s">
        <v>164</v>
      </c>
    </row>
    <row r="12" spans="1:6" ht="20.100000000000001" customHeight="1" x14ac:dyDescent="0.4">
      <c r="A12" s="5" t="s">
        <v>169</v>
      </c>
      <c r="B12" t="s">
        <v>165</v>
      </c>
      <c r="E12" s="5" t="s">
        <v>165</v>
      </c>
      <c r="F12" s="5" t="s">
        <v>165</v>
      </c>
    </row>
    <row r="13" spans="1:6" ht="20.100000000000001" customHeight="1" x14ac:dyDescent="0.4">
      <c r="A13" s="5" t="s">
        <v>170</v>
      </c>
      <c r="B13" t="s">
        <v>166</v>
      </c>
      <c r="E13" s="5" t="s">
        <v>166</v>
      </c>
      <c r="F13" s="5" t="s">
        <v>166</v>
      </c>
    </row>
    <row r="14" spans="1:6" ht="20.100000000000001" customHeight="1" x14ac:dyDescent="0.4">
      <c r="A14" t="s">
        <v>171</v>
      </c>
      <c r="B14" t="s">
        <v>174</v>
      </c>
      <c r="E14" s="5" t="s">
        <v>174</v>
      </c>
      <c r="F14" s="5" t="s">
        <v>174</v>
      </c>
    </row>
    <row r="15" spans="1:6" ht="20.100000000000001" customHeight="1" x14ac:dyDescent="0.4">
      <c r="A15" s="5" t="s">
        <v>172</v>
      </c>
      <c r="B15" t="s">
        <v>175</v>
      </c>
      <c r="E15" s="5" t="s">
        <v>175</v>
      </c>
      <c r="F15" s="5" t="s">
        <v>175</v>
      </c>
    </row>
    <row r="16" spans="1:6" ht="20.100000000000001" customHeight="1" x14ac:dyDescent="0.4">
      <c r="A16" s="5" t="s">
        <v>173</v>
      </c>
      <c r="B16" t="s">
        <v>176</v>
      </c>
      <c r="E16" s="5" t="s">
        <v>176</v>
      </c>
      <c r="F16" s="5" t="s">
        <v>176</v>
      </c>
    </row>
    <row r="17" spans="1:6" ht="20.100000000000001" customHeight="1" x14ac:dyDescent="0.4">
      <c r="A17" t="s">
        <v>177</v>
      </c>
      <c r="B17" t="s">
        <v>179</v>
      </c>
      <c r="E17" s="5" t="s">
        <v>189</v>
      </c>
      <c r="F17" s="5" t="s">
        <v>190</v>
      </c>
    </row>
    <row r="18" spans="1:6" ht="20.100000000000001" customHeight="1" x14ac:dyDescent="0.4">
      <c r="A18" s="5" t="s">
        <v>178</v>
      </c>
      <c r="B18" t="s">
        <v>187</v>
      </c>
      <c r="E18" s="5" t="s">
        <v>188</v>
      </c>
      <c r="F18" s="5" t="s">
        <v>191</v>
      </c>
    </row>
    <row r="19" spans="1:6" ht="20.100000000000001" customHeight="1" x14ac:dyDescent="0.4">
      <c r="A19" t="s">
        <v>182</v>
      </c>
      <c r="B19" s="5" t="s">
        <v>179</v>
      </c>
      <c r="E19" s="5" t="s">
        <v>179</v>
      </c>
      <c r="F19" s="5" t="s">
        <v>179</v>
      </c>
    </row>
    <row r="20" spans="1:6" ht="20.100000000000001" customHeight="1" x14ac:dyDescent="0.4">
      <c r="A20" s="5" t="s">
        <v>183</v>
      </c>
      <c r="B20" s="5" t="s">
        <v>180</v>
      </c>
      <c r="E20" s="5" t="s">
        <v>180</v>
      </c>
      <c r="F20" s="5" t="s">
        <v>180</v>
      </c>
    </row>
    <row r="21" spans="1:6" ht="20.100000000000001" customHeight="1" x14ac:dyDescent="0.4">
      <c r="A21" s="5" t="s">
        <v>184</v>
      </c>
      <c r="B21" s="5" t="s">
        <v>181</v>
      </c>
      <c r="E21" s="5" t="s">
        <v>181</v>
      </c>
      <c r="F21" s="5" t="s">
        <v>181</v>
      </c>
    </row>
  </sheetData>
  <phoneticPr fontId="2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76"/>
  <sheetViews>
    <sheetView showGridLines="0" zoomScale="85" zoomScaleNormal="85" workbookViewId="0">
      <pane ySplit="2" topLeftCell="A3" activePane="bottomLeft" state="frozen"/>
      <selection pane="bottomLeft" sqref="A1:B1"/>
    </sheetView>
  </sheetViews>
  <sheetFormatPr defaultColWidth="10.625" defaultRowHeight="20.100000000000001" customHeight="1" x14ac:dyDescent="0.4"/>
  <cols>
    <col min="1" max="1" width="21.875" style="5" customWidth="1"/>
    <col min="2" max="2" width="17.75" style="5" customWidth="1"/>
    <col min="3" max="3" width="9" style="5" customWidth="1"/>
    <col min="4" max="4" width="24.25" style="5" customWidth="1"/>
    <col min="5" max="6" width="9" style="5" customWidth="1"/>
    <col min="7" max="7" width="21.25" style="5" bestFit="1" customWidth="1"/>
    <col min="8" max="8" width="13.875" style="5" bestFit="1" customWidth="1"/>
    <col min="9" max="9" width="18.25" style="5" customWidth="1"/>
    <col min="10" max="10" width="9" customWidth="1"/>
    <col min="11" max="11" width="15" style="12" bestFit="1" customWidth="1"/>
    <col min="12" max="12" width="9" style="5" customWidth="1"/>
    <col min="13" max="13" width="12.25" style="5" customWidth="1"/>
    <col min="14" max="14" width="9" style="5" customWidth="1"/>
    <col min="15" max="16" width="12.25" style="5" customWidth="1"/>
    <col min="17" max="17" width="9" style="5" customWidth="1"/>
    <col min="18" max="18" width="12.25" style="5" customWidth="1"/>
    <col min="19" max="16384" width="10.625" style="29"/>
  </cols>
  <sheetData>
    <row r="1" spans="1:22" ht="20.100000000000001" customHeight="1" x14ac:dyDescent="0.4">
      <c r="A1" s="119" t="s">
        <v>25</v>
      </c>
      <c r="B1" s="119"/>
      <c r="C1" s="16"/>
      <c r="D1" s="119" t="s">
        <v>24</v>
      </c>
      <c r="E1" s="119"/>
      <c r="F1" s="16"/>
      <c r="G1" s="119" t="s">
        <v>23</v>
      </c>
      <c r="H1" s="119"/>
      <c r="I1" s="119"/>
      <c r="K1" s="5"/>
      <c r="L1" s="16"/>
      <c r="M1" s="16"/>
      <c r="N1" s="1"/>
      <c r="O1" s="16"/>
      <c r="P1" s="16"/>
      <c r="Q1" s="16"/>
      <c r="R1" s="16"/>
    </row>
    <row r="2" spans="1:22" ht="20.100000000000001" customHeight="1" x14ac:dyDescent="0.4">
      <c r="A2" s="21" t="s">
        <v>9</v>
      </c>
      <c r="B2" s="21" t="s">
        <v>10</v>
      </c>
      <c r="C2" s="17"/>
      <c r="D2" s="21" t="s">
        <v>9</v>
      </c>
      <c r="E2" s="21" t="s">
        <v>10</v>
      </c>
      <c r="F2" s="17"/>
      <c r="G2" s="21" t="s">
        <v>9</v>
      </c>
      <c r="H2" s="21"/>
      <c r="I2" s="21" t="s">
        <v>11</v>
      </c>
      <c r="K2" s="75" t="s">
        <v>1</v>
      </c>
      <c r="L2" s="17"/>
      <c r="M2" s="21" t="s">
        <v>40</v>
      </c>
      <c r="O2" s="120" t="s">
        <v>124</v>
      </c>
      <c r="P2" s="121"/>
      <c r="Q2" s="17"/>
      <c r="R2" s="21" t="s">
        <v>138</v>
      </c>
    </row>
    <row r="3" spans="1:22" ht="20.100000000000001" customHeight="1" x14ac:dyDescent="0.4">
      <c r="A3" s="2" t="s">
        <v>39</v>
      </c>
      <c r="B3" s="18" t="s">
        <v>239</v>
      </c>
      <c r="C3" s="17"/>
      <c r="D3" s="2"/>
      <c r="E3" s="2"/>
      <c r="F3" s="17"/>
      <c r="G3" s="68" t="s">
        <v>102</v>
      </c>
      <c r="H3" s="68" t="s">
        <v>110</v>
      </c>
      <c r="I3" s="20"/>
      <c r="K3" s="84" t="s">
        <v>55</v>
      </c>
      <c r="L3" s="17"/>
      <c r="M3" s="82">
        <v>44050</v>
      </c>
      <c r="O3" s="14">
        <v>44035</v>
      </c>
      <c r="P3" s="14" t="s">
        <v>240</v>
      </c>
      <c r="Q3" s="17"/>
      <c r="R3" s="82" t="s">
        <v>139</v>
      </c>
    </row>
    <row r="4" spans="1:22" ht="20.100000000000001" customHeight="1" x14ac:dyDescent="0.4">
      <c r="A4" s="2" t="s">
        <v>44</v>
      </c>
      <c r="B4" s="13" t="s">
        <v>58</v>
      </c>
      <c r="C4" s="17"/>
      <c r="D4" s="2"/>
      <c r="E4" s="19"/>
      <c r="F4" s="17"/>
      <c r="G4" s="68" t="s">
        <v>99</v>
      </c>
      <c r="H4" s="68" t="s">
        <v>111</v>
      </c>
      <c r="I4" s="20"/>
      <c r="K4" s="85" t="s">
        <v>65</v>
      </c>
      <c r="L4" s="17"/>
      <c r="M4" s="82">
        <v>44054</v>
      </c>
      <c r="O4" s="14">
        <v>44036</v>
      </c>
      <c r="P4" s="14" t="s">
        <v>241</v>
      </c>
      <c r="Q4" s="17"/>
      <c r="R4" s="82" t="s">
        <v>140</v>
      </c>
    </row>
    <row r="5" spans="1:22" ht="20.100000000000001" customHeight="1" x14ac:dyDescent="0.4">
      <c r="A5" s="2" t="s">
        <v>69</v>
      </c>
      <c r="B5" s="39" t="b">
        <v>0</v>
      </c>
      <c r="C5" s="17"/>
      <c r="D5" s="19"/>
      <c r="E5" s="19"/>
      <c r="F5" s="17"/>
      <c r="G5" s="68" t="s">
        <v>100</v>
      </c>
      <c r="H5" s="68" t="s">
        <v>112</v>
      </c>
      <c r="I5" s="20"/>
      <c r="K5" s="86" t="s">
        <v>86</v>
      </c>
      <c r="L5" s="17"/>
      <c r="M5" s="82">
        <v>44195</v>
      </c>
      <c r="O5" s="14">
        <v>44053</v>
      </c>
      <c r="P5" s="14" t="s">
        <v>131</v>
      </c>
      <c r="Q5" s="17"/>
      <c r="R5" s="82" t="s">
        <v>141</v>
      </c>
    </row>
    <row r="6" spans="1:22" s="56" customFormat="1" ht="20.100000000000001" customHeight="1" x14ac:dyDescent="0.4">
      <c r="A6" s="52" t="s">
        <v>76</v>
      </c>
      <c r="B6" s="53" t="b">
        <v>0</v>
      </c>
      <c r="C6" s="17"/>
      <c r="D6" s="19"/>
      <c r="E6" s="19"/>
      <c r="F6" s="17"/>
      <c r="G6" s="68" t="s">
        <v>101</v>
      </c>
      <c r="H6" s="68" t="s">
        <v>117</v>
      </c>
      <c r="I6" s="20"/>
      <c r="J6"/>
      <c r="K6" s="87" t="s">
        <v>87</v>
      </c>
      <c r="L6" s="17"/>
      <c r="M6" s="83">
        <v>44196</v>
      </c>
      <c r="N6" s="55"/>
      <c r="O6" s="54"/>
      <c r="P6" s="54"/>
      <c r="Q6" s="17"/>
      <c r="R6" s="83" t="s">
        <v>142</v>
      </c>
      <c r="V6" s="57"/>
    </row>
    <row r="7" spans="1:22" ht="20.100000000000001" customHeight="1" x14ac:dyDescent="0.4">
      <c r="A7" s="50" t="s">
        <v>127</v>
      </c>
      <c r="B7" s="14">
        <v>43996</v>
      </c>
      <c r="C7" s="17"/>
      <c r="D7" s="19"/>
      <c r="E7" s="19"/>
      <c r="F7" s="17"/>
      <c r="G7" s="68" t="s">
        <v>103</v>
      </c>
      <c r="H7" s="68" t="s">
        <v>114</v>
      </c>
      <c r="I7" s="20" t="s">
        <v>104</v>
      </c>
      <c r="K7" s="87" t="s">
        <v>66</v>
      </c>
      <c r="L7" s="17"/>
      <c r="M7" s="82">
        <v>44198</v>
      </c>
      <c r="O7" s="14"/>
      <c r="P7" s="14"/>
      <c r="Q7" s="17"/>
      <c r="R7" s="82" t="s">
        <v>95</v>
      </c>
    </row>
    <row r="8" spans="1:22" ht="20.100000000000001" customHeight="1" x14ac:dyDescent="0.4">
      <c r="A8" s="50" t="s">
        <v>68</v>
      </c>
      <c r="B8" s="14">
        <v>44073</v>
      </c>
      <c r="C8" s="17"/>
      <c r="D8" s="19"/>
      <c r="E8" s="19"/>
      <c r="F8" s="17"/>
      <c r="G8" s="68" t="s">
        <v>98</v>
      </c>
      <c r="H8" s="68" t="s">
        <v>115</v>
      </c>
      <c r="I8" s="20" t="s">
        <v>12</v>
      </c>
      <c r="K8" s="87" t="s">
        <v>63</v>
      </c>
      <c r="L8" s="17"/>
      <c r="M8" s="82"/>
      <c r="O8" s="14"/>
      <c r="P8" s="14"/>
      <c r="Q8" s="17"/>
      <c r="R8" s="82" t="s">
        <v>143</v>
      </c>
    </row>
    <row r="9" spans="1:22" ht="20.100000000000001" customHeight="1" x14ac:dyDescent="0.4">
      <c r="A9" s="50" t="s">
        <v>67</v>
      </c>
      <c r="B9" s="14">
        <v>44048</v>
      </c>
      <c r="C9" s="17"/>
      <c r="D9" s="17"/>
      <c r="E9" s="17"/>
      <c r="F9" s="17"/>
      <c r="G9" s="68" t="s">
        <v>106</v>
      </c>
      <c r="H9" s="68" t="s">
        <v>116</v>
      </c>
      <c r="I9" s="20" t="s">
        <v>105</v>
      </c>
      <c r="K9" s="87" t="s">
        <v>64</v>
      </c>
      <c r="L9" s="17"/>
      <c r="M9" s="82"/>
      <c r="O9" s="14"/>
      <c r="P9" s="14"/>
      <c r="Q9" s="17"/>
      <c r="R9" s="82"/>
    </row>
    <row r="10" spans="1:22" ht="20.100000000000001" customHeight="1" x14ac:dyDescent="0.4">
      <c r="A10" s="2" t="s">
        <v>70</v>
      </c>
      <c r="B10" s="39" t="s">
        <v>93</v>
      </c>
      <c r="C10" s="17"/>
      <c r="D10" s="17"/>
      <c r="E10" s="17"/>
      <c r="F10" s="17"/>
      <c r="G10" s="68" t="s">
        <v>107</v>
      </c>
      <c r="H10" s="68" t="s">
        <v>113</v>
      </c>
      <c r="I10" s="20"/>
      <c r="K10" s="87" t="s">
        <v>62</v>
      </c>
      <c r="L10" s="17"/>
      <c r="M10" s="82"/>
      <c r="O10" s="14"/>
      <c r="P10" s="14"/>
      <c r="Q10" s="17"/>
      <c r="R10" s="82"/>
    </row>
    <row r="11" spans="1:22" ht="20.100000000000001" customHeight="1" x14ac:dyDescent="0.4">
      <c r="A11" s="2" t="s">
        <v>71</v>
      </c>
      <c r="B11" s="13" t="b">
        <v>0</v>
      </c>
      <c r="C11" s="17"/>
      <c r="D11" s="17"/>
      <c r="E11" s="17"/>
      <c r="F11" s="17"/>
      <c r="G11" s="68" t="s">
        <v>108</v>
      </c>
      <c r="H11" s="68" t="s">
        <v>118</v>
      </c>
      <c r="I11" s="20"/>
      <c r="K11" s="87" t="s">
        <v>59</v>
      </c>
      <c r="L11" s="17"/>
      <c r="M11" s="82"/>
      <c r="O11" s="14"/>
      <c r="P11" s="14"/>
      <c r="Q11" s="17"/>
      <c r="R11" s="82"/>
    </row>
    <row r="12" spans="1:22" ht="20.100000000000001" customHeight="1" x14ac:dyDescent="0.4">
      <c r="A12" s="2" t="s">
        <v>77</v>
      </c>
      <c r="B12" s="13">
        <v>10222585</v>
      </c>
      <c r="C12" s="17"/>
      <c r="D12" s="17"/>
      <c r="E12" s="17"/>
      <c r="F12" s="17"/>
      <c r="G12" s="68" t="s">
        <v>109</v>
      </c>
      <c r="H12" s="68" t="s">
        <v>119</v>
      </c>
      <c r="I12" s="20"/>
      <c r="K12" s="87" t="s">
        <v>60</v>
      </c>
      <c r="L12" s="17"/>
      <c r="M12" s="82"/>
      <c r="O12" s="14"/>
      <c r="P12" s="14"/>
      <c r="Q12" s="17"/>
      <c r="R12" s="29"/>
    </row>
    <row r="13" spans="1:22" ht="20.100000000000001" customHeight="1" x14ac:dyDescent="0.4">
      <c r="A13" s="2" t="s">
        <v>78</v>
      </c>
      <c r="B13" s="13">
        <v>16774635</v>
      </c>
      <c r="C13" s="17"/>
      <c r="D13" s="17"/>
      <c r="E13" s="17"/>
      <c r="F13" s="17"/>
      <c r="G13"/>
      <c r="H13"/>
      <c r="I13"/>
      <c r="K13" s="87" t="s">
        <v>61</v>
      </c>
      <c r="L13" s="17"/>
      <c r="M13" s="82"/>
      <c r="O13" s="14"/>
      <c r="P13" s="14"/>
      <c r="Q13" s="17"/>
      <c r="R13" s="29"/>
    </row>
    <row r="14" spans="1:22" ht="20.100000000000001" customHeight="1" x14ac:dyDescent="0.4">
      <c r="A14" s="2" t="s">
        <v>79</v>
      </c>
      <c r="B14" s="13">
        <v>16314622</v>
      </c>
      <c r="C14" s="17"/>
      <c r="D14" s="17"/>
      <c r="E14" s="17"/>
      <c r="F14" s="17"/>
      <c r="G14"/>
      <c r="H14"/>
      <c r="I14"/>
      <c r="K14" s="88" t="s">
        <v>88</v>
      </c>
      <c r="L14" s="17"/>
      <c r="M14" s="82"/>
      <c r="O14" s="14"/>
      <c r="P14" s="14"/>
      <c r="Q14" s="17"/>
      <c r="R14" s="29"/>
    </row>
    <row r="15" spans="1:22" ht="20.100000000000001" customHeight="1" x14ac:dyDescent="0.4">
      <c r="A15" s="2" t="s">
        <v>80</v>
      </c>
      <c r="B15" s="13">
        <v>6680933</v>
      </c>
      <c r="C15" s="17"/>
      <c r="D15"/>
      <c r="E15"/>
      <c r="F15"/>
      <c r="G15"/>
      <c r="H15"/>
      <c r="I15"/>
      <c r="K15" s="89" t="s">
        <v>13</v>
      </c>
      <c r="L15" s="17"/>
      <c r="M15" s="82"/>
      <c r="O15" s="14"/>
      <c r="P15" s="14"/>
      <c r="Q15" s="17"/>
      <c r="R15" s="29"/>
    </row>
    <row r="16" spans="1:22" ht="20.100000000000001" customHeight="1" x14ac:dyDescent="0.4">
      <c r="A16" s="15" t="s">
        <v>72</v>
      </c>
      <c r="B16" s="13">
        <v>6680933</v>
      </c>
      <c r="C16" s="17"/>
      <c r="D16"/>
      <c r="E16"/>
      <c r="F16"/>
      <c r="G16"/>
      <c r="H16"/>
      <c r="I16"/>
      <c r="K16" s="89" t="s">
        <v>14</v>
      </c>
      <c r="L16" s="17"/>
      <c r="M16" s="82"/>
      <c r="O16" s="14"/>
      <c r="P16" s="14"/>
      <c r="Q16" s="17"/>
      <c r="R16" s="29"/>
    </row>
    <row r="17" spans="1:18" ht="20.100000000000001" customHeight="1" x14ac:dyDescent="0.4">
      <c r="A17" s="2" t="s">
        <v>73</v>
      </c>
      <c r="B17" s="13">
        <v>10053375</v>
      </c>
      <c r="C17" s="17"/>
      <c r="D17"/>
      <c r="E17"/>
      <c r="F17"/>
      <c r="G17"/>
      <c r="H17"/>
      <c r="K17" s="89" t="s">
        <v>15</v>
      </c>
      <c r="L17" s="17"/>
      <c r="M17" s="82"/>
      <c r="O17" s="14"/>
      <c r="P17" s="14"/>
      <c r="Q17" s="17"/>
      <c r="R17" s="29"/>
    </row>
    <row r="18" spans="1:18" ht="20.100000000000001" customHeight="1" x14ac:dyDescent="0.4">
      <c r="A18" s="2" t="s">
        <v>74</v>
      </c>
      <c r="B18" s="13">
        <v>255</v>
      </c>
      <c r="C18" s="17"/>
      <c r="D18"/>
      <c r="E18"/>
      <c r="F18"/>
      <c r="G18"/>
      <c r="H18"/>
      <c r="K18" s="90" t="s">
        <v>16</v>
      </c>
      <c r="L18" s="17"/>
      <c r="M18" s="82"/>
      <c r="O18" s="14"/>
      <c r="P18" s="14"/>
      <c r="Q18" s="17"/>
      <c r="R18" s="29"/>
    </row>
    <row r="19" spans="1:18" ht="20.100000000000001" customHeight="1" x14ac:dyDescent="0.4">
      <c r="A19" s="2" t="s">
        <v>75</v>
      </c>
      <c r="B19" s="13">
        <v>16777215</v>
      </c>
      <c r="C19" s="17"/>
      <c r="D19"/>
      <c r="E19"/>
      <c r="F19"/>
      <c r="G19"/>
      <c r="H19"/>
      <c r="K19" s="91" t="s">
        <v>17</v>
      </c>
      <c r="L19" s="17"/>
      <c r="M19" s="82"/>
      <c r="O19" s="14"/>
      <c r="P19" s="14"/>
      <c r="Q19" s="17"/>
      <c r="R19" s="29"/>
    </row>
    <row r="20" spans="1:18" ht="20.100000000000001" customHeight="1" x14ac:dyDescent="0.4">
      <c r="A20" s="2" t="s">
        <v>81</v>
      </c>
      <c r="B20" s="13">
        <v>16777215</v>
      </c>
      <c r="C20" s="17"/>
      <c r="D20"/>
      <c r="E20"/>
      <c r="F20"/>
      <c r="G20"/>
      <c r="H20"/>
      <c r="K20" s="91" t="s">
        <v>18</v>
      </c>
      <c r="L20" s="17"/>
      <c r="M20" s="82"/>
      <c r="O20" s="14"/>
      <c r="P20" s="14"/>
      <c r="Q20" s="17"/>
      <c r="R20" s="29"/>
    </row>
    <row r="21" spans="1:18" ht="20.100000000000001" customHeight="1" x14ac:dyDescent="0.4">
      <c r="A21" s="2" t="s">
        <v>82</v>
      </c>
      <c r="B21" s="13">
        <v>16777215</v>
      </c>
      <c r="C21" s="17"/>
      <c r="D21"/>
      <c r="E21"/>
      <c r="F21"/>
      <c r="G21"/>
      <c r="H21"/>
      <c r="K21" s="91" t="s">
        <v>19</v>
      </c>
      <c r="L21" s="17"/>
      <c r="M21" s="82"/>
      <c r="O21" s="14"/>
      <c r="P21" s="14"/>
      <c r="Q21" s="17"/>
      <c r="R21" s="29"/>
    </row>
    <row r="22" spans="1:18" ht="20.100000000000001" customHeight="1" x14ac:dyDescent="0.4">
      <c r="A22" s="2" t="s">
        <v>205</v>
      </c>
      <c r="B22" s="13" t="s">
        <v>194</v>
      </c>
      <c r="C22" s="17"/>
      <c r="D22"/>
      <c r="E22"/>
      <c r="F22"/>
      <c r="G22"/>
      <c r="H22"/>
      <c r="I22" s="17"/>
      <c r="K22" s="92" t="s">
        <v>20</v>
      </c>
      <c r="L22" s="17"/>
      <c r="M22" s="82"/>
      <c r="O22" s="14"/>
      <c r="P22" s="14"/>
      <c r="Q22" s="17"/>
      <c r="R22" s="29"/>
    </row>
    <row r="23" spans="1:18" ht="20.100000000000001" customHeight="1" x14ac:dyDescent="0.4">
      <c r="A23" s="2"/>
      <c r="B23" s="13"/>
      <c r="C23" s="17"/>
      <c r="D23"/>
      <c r="E23"/>
      <c r="F23"/>
      <c r="G23"/>
      <c r="H23"/>
      <c r="I23" s="17"/>
      <c r="K23" s="93" t="s">
        <v>21</v>
      </c>
      <c r="L23" s="17"/>
      <c r="M23" s="82"/>
      <c r="O23" s="14"/>
      <c r="P23" s="14"/>
      <c r="Q23" s="17"/>
      <c r="R23" s="29"/>
    </row>
    <row r="24" spans="1:18" ht="20.100000000000001" customHeight="1" x14ac:dyDescent="0.4">
      <c r="A24" s="2"/>
      <c r="B24" s="13"/>
      <c r="C24" s="17"/>
      <c r="D24"/>
      <c r="E24"/>
      <c r="F24"/>
      <c r="G24"/>
      <c r="H24"/>
      <c r="I24" s="17"/>
      <c r="K24" s="93" t="s">
        <v>22</v>
      </c>
      <c r="L24" s="17"/>
      <c r="M24" s="82"/>
      <c r="O24" s="14"/>
      <c r="P24" s="14"/>
      <c r="Q24" s="17"/>
      <c r="R24" s="29"/>
    </row>
    <row r="25" spans="1:18" ht="20.100000000000001" customHeight="1" x14ac:dyDescent="0.4">
      <c r="A25" s="2"/>
      <c r="B25" s="13"/>
      <c r="C25" s="17"/>
      <c r="F25" s="17"/>
      <c r="G25" s="17"/>
      <c r="H25" s="17"/>
      <c r="I25" s="17"/>
      <c r="K25" s="93" t="s">
        <v>85</v>
      </c>
      <c r="L25" s="17"/>
      <c r="M25" s="82"/>
      <c r="O25" s="14"/>
      <c r="P25" s="14"/>
      <c r="Q25" s="17"/>
      <c r="R25" s="29"/>
    </row>
    <row r="26" spans="1:18" ht="20.100000000000001" customHeight="1" x14ac:dyDescent="0.4">
      <c r="A26" s="2"/>
      <c r="B26" s="13"/>
      <c r="C26" s="17"/>
      <c r="F26" s="17"/>
      <c r="G26" s="17"/>
      <c r="H26" s="17"/>
      <c r="I26" s="17"/>
      <c r="K26" s="94" t="s">
        <v>120</v>
      </c>
      <c r="L26" s="17"/>
      <c r="M26" s="82"/>
      <c r="O26" s="14"/>
      <c r="P26" s="14"/>
      <c r="Q26" s="17"/>
      <c r="R26" s="29"/>
    </row>
    <row r="27" spans="1:18" ht="20.100000000000001" customHeight="1" x14ac:dyDescent="0.4">
      <c r="A27" s="2"/>
      <c r="B27" s="13"/>
      <c r="K27" s="95" t="s">
        <v>121</v>
      </c>
      <c r="M27" s="82"/>
      <c r="O27" s="14"/>
      <c r="P27" s="14"/>
      <c r="R27" s="29"/>
    </row>
    <row r="28" spans="1:18" ht="20.100000000000001" customHeight="1" x14ac:dyDescent="0.4">
      <c r="A28" s="2"/>
      <c r="B28" s="13"/>
      <c r="K28" s="95" t="s">
        <v>122</v>
      </c>
      <c r="M28" s="82"/>
      <c r="O28" s="14"/>
      <c r="P28" s="14"/>
      <c r="R28" s="29"/>
    </row>
    <row r="29" spans="1:18" ht="20.100000000000001" customHeight="1" x14ac:dyDescent="0.4">
      <c r="A29" s="2"/>
      <c r="B29" s="39"/>
      <c r="K29" s="95" t="s">
        <v>123</v>
      </c>
      <c r="M29" s="82"/>
      <c r="O29" s="14"/>
      <c r="P29" s="14"/>
      <c r="R29" s="29"/>
    </row>
    <row r="30" spans="1:18" ht="20.100000000000001" customHeight="1" x14ac:dyDescent="0.4">
      <c r="A30" s="5" t="s">
        <v>209</v>
      </c>
      <c r="B30" s="13" t="s">
        <v>210</v>
      </c>
      <c r="K30" s="95" t="s">
        <v>146</v>
      </c>
      <c r="M30" s="82"/>
      <c r="O30" s="14"/>
      <c r="P30" s="14"/>
      <c r="R30" s="29"/>
    </row>
    <row r="31" spans="1:18" ht="20.100000000000001" customHeight="1" x14ac:dyDescent="0.4">
      <c r="A31" s="2" t="s">
        <v>211</v>
      </c>
      <c r="B31" s="13" t="s">
        <v>212</v>
      </c>
      <c r="K31" s="95" t="s">
        <v>147</v>
      </c>
      <c r="M31" s="82"/>
      <c r="O31" s="14"/>
      <c r="P31" s="14"/>
      <c r="R31" s="29"/>
    </row>
    <row r="32" spans="1:18" ht="20.100000000000001" customHeight="1" x14ac:dyDescent="0.4">
      <c r="A32" s="2" t="s">
        <v>213</v>
      </c>
      <c r="B32" s="13" t="s">
        <v>214</v>
      </c>
      <c r="K32" s="95" t="s">
        <v>148</v>
      </c>
      <c r="M32" s="82"/>
      <c r="O32" s="14"/>
      <c r="P32" s="14"/>
      <c r="R32" s="29"/>
    </row>
    <row r="33" spans="1:18" ht="20.100000000000001" customHeight="1" x14ac:dyDescent="0.4">
      <c r="A33" s="2" t="s">
        <v>215</v>
      </c>
      <c r="B33" s="13" t="s">
        <v>216</v>
      </c>
      <c r="K33" s="95" t="s">
        <v>149</v>
      </c>
      <c r="M33" s="82"/>
      <c r="O33" s="14"/>
      <c r="P33" s="14"/>
      <c r="R33" s="29"/>
    </row>
    <row r="34" spans="1:18" ht="20.100000000000001" customHeight="1" x14ac:dyDescent="0.4">
      <c r="A34" s="2" t="s">
        <v>217</v>
      </c>
      <c r="B34" s="13" t="s">
        <v>218</v>
      </c>
      <c r="K34" s="96" t="s">
        <v>126</v>
      </c>
      <c r="M34" s="82"/>
      <c r="O34" s="14"/>
      <c r="P34" s="14"/>
      <c r="R34" s="29"/>
    </row>
    <row r="35" spans="1:18" ht="20.100000000000001" customHeight="1" x14ac:dyDescent="0.4">
      <c r="A35" s="2" t="s">
        <v>219</v>
      </c>
      <c r="B35" s="13" t="s">
        <v>220</v>
      </c>
      <c r="K35" s="97" t="s">
        <v>128</v>
      </c>
      <c r="M35" s="82"/>
      <c r="O35" s="14"/>
      <c r="P35" s="14"/>
      <c r="R35" s="29"/>
    </row>
    <row r="36" spans="1:18" ht="20.100000000000001" customHeight="1" x14ac:dyDescent="0.4">
      <c r="A36" s="2" t="s">
        <v>221</v>
      </c>
      <c r="B36" s="13" t="s">
        <v>222</v>
      </c>
      <c r="K36" s="97" t="s">
        <v>129</v>
      </c>
      <c r="M36" s="82"/>
      <c r="O36" s="14"/>
      <c r="P36" s="14"/>
      <c r="R36" s="29"/>
    </row>
    <row r="37" spans="1:18" ht="20.100000000000001" customHeight="1" x14ac:dyDescent="0.4">
      <c r="A37" s="2" t="s">
        <v>223</v>
      </c>
      <c r="B37" s="13" t="s">
        <v>224</v>
      </c>
      <c r="K37" s="97" t="s">
        <v>130</v>
      </c>
      <c r="M37" s="82"/>
      <c r="O37" s="14"/>
      <c r="P37" s="14"/>
      <c r="R37" s="29"/>
    </row>
    <row r="38" spans="1:18" ht="20.100000000000001" customHeight="1" x14ac:dyDescent="0.4">
      <c r="A38" s="2" t="s">
        <v>225</v>
      </c>
      <c r="B38" s="13" t="s">
        <v>226</v>
      </c>
      <c r="K38"/>
    </row>
    <row r="39" spans="1:18" ht="20.100000000000001" customHeight="1" x14ac:dyDescent="0.4">
      <c r="A39" s="2" t="s">
        <v>227</v>
      </c>
      <c r="B39" s="13" t="s">
        <v>228</v>
      </c>
      <c r="K39"/>
    </row>
    <row r="40" spans="1:18" ht="20.100000000000001" customHeight="1" x14ac:dyDescent="0.4">
      <c r="A40" s="2" t="s">
        <v>229</v>
      </c>
      <c r="B40" s="13" t="s">
        <v>230</v>
      </c>
      <c r="K40"/>
    </row>
    <row r="41" spans="1:18" ht="20.100000000000001" customHeight="1" x14ac:dyDescent="0.4">
      <c r="A41" s="2" t="s">
        <v>231</v>
      </c>
      <c r="B41" s="13" t="s">
        <v>232</v>
      </c>
      <c r="K41"/>
    </row>
    <row r="42" spans="1:18" ht="20.100000000000001" customHeight="1" x14ac:dyDescent="0.4">
      <c r="A42" s="2" t="s">
        <v>233</v>
      </c>
      <c r="B42" s="13" t="s">
        <v>234</v>
      </c>
      <c r="K42"/>
    </row>
    <row r="43" spans="1:18" ht="20.100000000000001" customHeight="1" x14ac:dyDescent="0.4">
      <c r="A43" s="2" t="s">
        <v>235</v>
      </c>
      <c r="B43" s="13" t="s">
        <v>236</v>
      </c>
      <c r="K43"/>
    </row>
    <row r="44" spans="1:18" ht="20.100000000000001" customHeight="1" x14ac:dyDescent="0.4">
      <c r="A44" s="2" t="s">
        <v>237</v>
      </c>
      <c r="B44" s="13" t="s">
        <v>238</v>
      </c>
      <c r="K44"/>
    </row>
    <row r="45" spans="1:18" ht="20.100000000000001" customHeight="1" x14ac:dyDescent="0.4">
      <c r="A45" s="2"/>
      <c r="B45" s="13"/>
      <c r="K45"/>
    </row>
    <row r="46" spans="1:18" ht="20.100000000000001" customHeight="1" x14ac:dyDescent="0.4">
      <c r="A46" s="2"/>
      <c r="B46" s="13"/>
      <c r="K46"/>
    </row>
    <row r="47" spans="1:18" ht="20.100000000000001" customHeight="1" x14ac:dyDescent="0.4">
      <c r="A47" s="2"/>
      <c r="B47" s="13"/>
      <c r="K47"/>
    </row>
    <row r="48" spans="1:18" ht="20.100000000000001" customHeight="1" x14ac:dyDescent="0.4">
      <c r="A48" s="2"/>
      <c r="B48" s="13"/>
      <c r="K48"/>
    </row>
    <row r="49" spans="1:11" ht="20.100000000000001" customHeight="1" x14ac:dyDescent="0.4">
      <c r="A49" s="2"/>
      <c r="B49" s="13"/>
      <c r="K49"/>
    </row>
    <row r="50" spans="1:11" ht="20.100000000000001" customHeight="1" x14ac:dyDescent="0.4">
      <c r="A50" s="2"/>
      <c r="B50" s="13"/>
      <c r="K50"/>
    </row>
    <row r="51" spans="1:11" ht="20.100000000000001" customHeight="1" x14ac:dyDescent="0.4">
      <c r="A51" s="2"/>
      <c r="B51" s="13"/>
      <c r="K51"/>
    </row>
    <row r="52" spans="1:11" ht="20.100000000000001" customHeight="1" x14ac:dyDescent="0.4">
      <c r="A52" s="2"/>
      <c r="B52" s="13"/>
      <c r="K52"/>
    </row>
    <row r="53" spans="1:11" ht="20.100000000000001" customHeight="1" x14ac:dyDescent="0.4">
      <c r="A53" s="2"/>
      <c r="B53" s="13"/>
      <c r="K53"/>
    </row>
    <row r="54" spans="1:11" ht="20.100000000000001" customHeight="1" x14ac:dyDescent="0.4">
      <c r="A54" s="2"/>
      <c r="B54" s="13"/>
      <c r="K54"/>
    </row>
    <row r="55" spans="1:11" ht="20.100000000000001" customHeight="1" x14ac:dyDescent="0.4">
      <c r="A55" s="2"/>
      <c r="B55" s="13"/>
      <c r="K55"/>
    </row>
    <row r="56" spans="1:11" ht="20.100000000000001" customHeight="1" x14ac:dyDescent="0.4">
      <c r="A56" s="2"/>
      <c r="B56" s="13"/>
      <c r="K56"/>
    </row>
    <row r="57" spans="1:11" ht="20.100000000000001" customHeight="1" x14ac:dyDescent="0.4">
      <c r="A57" s="2"/>
      <c r="B57" s="13"/>
      <c r="K57"/>
    </row>
    <row r="58" spans="1:11" ht="20.100000000000001" customHeight="1" x14ac:dyDescent="0.4">
      <c r="A58" s="2"/>
      <c r="B58" s="13"/>
      <c r="K58"/>
    </row>
    <row r="59" spans="1:11" ht="20.100000000000001" customHeight="1" x14ac:dyDescent="0.4">
      <c r="A59" s="2"/>
      <c r="B59" s="13"/>
      <c r="K59"/>
    </row>
    <row r="60" spans="1:11" ht="20.100000000000001" customHeight="1" x14ac:dyDescent="0.4">
      <c r="K60"/>
    </row>
    <row r="61" spans="1:11" ht="20.100000000000001" customHeight="1" x14ac:dyDescent="0.4">
      <c r="K61"/>
    </row>
    <row r="62" spans="1:11" ht="20.100000000000001" customHeight="1" x14ac:dyDescent="0.4">
      <c r="K62"/>
    </row>
    <row r="63" spans="1:11" ht="20.100000000000001" customHeight="1" x14ac:dyDescent="0.4">
      <c r="K63"/>
    </row>
    <row r="64" spans="1:11" ht="20.100000000000001" customHeight="1" x14ac:dyDescent="0.4">
      <c r="K64"/>
    </row>
    <row r="65" spans="11:11" ht="20.100000000000001" customHeight="1" x14ac:dyDescent="0.4">
      <c r="K65"/>
    </row>
    <row r="66" spans="11:11" ht="20.100000000000001" customHeight="1" x14ac:dyDescent="0.4">
      <c r="K66"/>
    </row>
    <row r="67" spans="11:11" ht="20.100000000000001" customHeight="1" x14ac:dyDescent="0.4">
      <c r="K67"/>
    </row>
    <row r="68" spans="11:11" ht="20.100000000000001" customHeight="1" x14ac:dyDescent="0.4">
      <c r="K68"/>
    </row>
    <row r="69" spans="11:11" ht="20.100000000000001" customHeight="1" x14ac:dyDescent="0.4">
      <c r="K69"/>
    </row>
    <row r="70" spans="11:11" ht="20.100000000000001" customHeight="1" x14ac:dyDescent="0.4">
      <c r="K70"/>
    </row>
    <row r="71" spans="11:11" ht="20.100000000000001" customHeight="1" x14ac:dyDescent="0.4">
      <c r="K71"/>
    </row>
    <row r="72" spans="11:11" ht="20.100000000000001" customHeight="1" x14ac:dyDescent="0.4">
      <c r="K72"/>
    </row>
    <row r="73" spans="11:11" ht="20.100000000000001" customHeight="1" x14ac:dyDescent="0.4">
      <c r="K73"/>
    </row>
    <row r="74" spans="11:11" ht="20.100000000000001" customHeight="1" x14ac:dyDescent="0.4">
      <c r="K74"/>
    </row>
    <row r="75" spans="11:11" ht="20.100000000000001" customHeight="1" x14ac:dyDescent="0.4">
      <c r="K75"/>
    </row>
    <row r="76" spans="11:11" ht="20.100000000000001" customHeight="1" x14ac:dyDescent="0.4">
      <c r="K76"/>
    </row>
  </sheetData>
  <mergeCells count="4">
    <mergeCell ref="G1:I1"/>
    <mergeCell ref="D1:E1"/>
    <mergeCell ref="A1:B1"/>
    <mergeCell ref="O2:P2"/>
  </mergeCells>
  <phoneticPr fontId="20"/>
  <dataValidations count="5">
    <dataValidation type="list" allowBlank="1" showInputMessage="1" showErrorMessage="1" sqref="B3">
      <formula1>"file,form,speak,all,none"</formula1>
    </dataValidation>
    <dataValidation type="list" allowBlank="1" showInputMessage="1" showErrorMessage="1" sqref="B5:B6 B11">
      <formula1>"TRUE,FALSE"</formula1>
    </dataValidation>
    <dataValidation type="list" allowBlank="1" showInputMessage="1" showErrorMessage="1" sqref="B4">
      <formula1>"default,CD部用"</formula1>
    </dataValidation>
    <dataValidation type="list" allowBlank="1" showInputMessage="1" showErrorMessage="1" sqref="B10">
      <formula1>"Type1,Type2"</formula1>
    </dataValidation>
    <dataValidation imeMode="off" allowBlank="1" showInputMessage="1" showErrorMessage="1" sqref="I3:I12"/>
  </dataValidations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0000"/>
    <outlinePr summaryBelow="0" summaryRight="0"/>
    <pageSetUpPr autoPageBreaks="0"/>
  </sheetPr>
  <dimension ref="A1:R5"/>
  <sheetViews>
    <sheetView showGridLines="0" zoomScale="85" zoomScaleNormal="85" workbookViewId="0">
      <pane xSplit="17" ySplit="5" topLeftCell="R6" activePane="bottomRight" state="frozen"/>
      <selection pane="topRight" activeCell="W1" sqref="W1"/>
      <selection pane="bottomLeft" activeCell="A6" sqref="A6"/>
      <selection pane="bottomRight" activeCell="A6" sqref="A6"/>
    </sheetView>
  </sheetViews>
  <sheetFormatPr defaultColWidth="3.125" defaultRowHeight="20.100000000000001" customHeight="1" x14ac:dyDescent="0.4"/>
  <cols>
    <col min="1" max="1" width="4.625" style="27" customWidth="1"/>
    <col min="2" max="2" width="3.625" style="27" customWidth="1"/>
    <col min="3" max="3" width="40.625" style="27" customWidth="1"/>
    <col min="4" max="5" width="6.625" style="28" customWidth="1"/>
    <col min="6" max="7" width="7.625" style="28" customWidth="1"/>
    <col min="8" max="11" width="6.625" style="28" customWidth="1"/>
    <col min="12" max="13" width="5.625" style="28" customWidth="1"/>
    <col min="14" max="15" width="7.625" style="28" customWidth="1"/>
    <col min="16" max="16" width="10.625" style="28" customWidth="1"/>
    <col min="17" max="17" width="40.625" style="27" customWidth="1"/>
    <col min="18" max="16384" width="3.125" style="22"/>
  </cols>
  <sheetData>
    <row r="1" spans="1:18" ht="20.100000000000001" customHeight="1" x14ac:dyDescent="0.4">
      <c r="A1" s="122"/>
      <c r="B1" s="123"/>
      <c r="C1" s="123"/>
      <c r="D1" s="104"/>
      <c r="E1" s="123"/>
      <c r="F1" s="123"/>
      <c r="G1" s="123"/>
      <c r="H1" s="123"/>
      <c r="I1" s="123"/>
      <c r="J1" s="123"/>
      <c r="K1" s="123"/>
      <c r="L1" s="123"/>
      <c r="M1" s="51"/>
      <c r="N1" s="51"/>
      <c r="O1" s="51"/>
      <c r="P1" s="51"/>
      <c r="Q1" s="51"/>
      <c r="R1" s="114"/>
    </row>
    <row r="2" spans="1:18" ht="20.100000000000001" customHeight="1" x14ac:dyDescent="0.4">
      <c r="A2" s="129" t="s">
        <v>84</v>
      </c>
      <c r="B2" s="129" t="s">
        <v>0</v>
      </c>
      <c r="C2" s="130" t="s">
        <v>83</v>
      </c>
      <c r="D2" s="23" t="s">
        <v>2</v>
      </c>
      <c r="E2" s="42"/>
      <c r="F2" s="23" t="s">
        <v>1</v>
      </c>
      <c r="G2" s="42"/>
      <c r="H2" s="23" t="s">
        <v>45</v>
      </c>
      <c r="I2" s="42"/>
      <c r="J2" s="23" t="s">
        <v>52</v>
      </c>
      <c r="K2" s="42"/>
      <c r="L2" s="23" t="s">
        <v>41</v>
      </c>
      <c r="M2" s="73"/>
      <c r="N2" s="23" t="s">
        <v>46</v>
      </c>
      <c r="O2" s="73"/>
      <c r="P2" s="124" t="s">
        <v>57</v>
      </c>
      <c r="Q2" s="126" t="s">
        <v>47</v>
      </c>
      <c r="R2" s="114"/>
    </row>
    <row r="3" spans="1:18" ht="20.100000000000001" customHeight="1" x14ac:dyDescent="0.4">
      <c r="A3" s="129"/>
      <c r="B3" s="129"/>
      <c r="C3" s="130"/>
      <c r="D3" s="43" t="s">
        <v>5</v>
      </c>
      <c r="E3" s="43" t="s">
        <v>6</v>
      </c>
      <c r="F3" s="43" t="s">
        <v>3</v>
      </c>
      <c r="G3" s="43" t="s">
        <v>4</v>
      </c>
      <c r="H3" s="43" t="s">
        <v>48</v>
      </c>
      <c r="I3" s="43" t="s">
        <v>49</v>
      </c>
      <c r="J3" s="43" t="s">
        <v>53</v>
      </c>
      <c r="K3" s="43" t="s">
        <v>54</v>
      </c>
      <c r="L3" s="43" t="s">
        <v>7</v>
      </c>
      <c r="M3" s="81" t="s">
        <v>8</v>
      </c>
      <c r="N3" s="81" t="s">
        <v>50</v>
      </c>
      <c r="O3" s="81" t="s">
        <v>51</v>
      </c>
      <c r="P3" s="125"/>
      <c r="Q3" s="127"/>
      <c r="R3" s="114"/>
    </row>
    <row r="4" spans="1:18" ht="20.100000000000001" customHeight="1" x14ac:dyDescent="0.4">
      <c r="A4" s="24"/>
      <c r="B4" s="24"/>
      <c r="C4" s="25"/>
      <c r="D4" s="105"/>
      <c r="E4" s="106"/>
      <c r="F4" s="48"/>
      <c r="G4" s="49"/>
      <c r="H4" s="105"/>
      <c r="I4" s="107"/>
      <c r="J4" s="105"/>
      <c r="K4" s="107"/>
      <c r="L4" s="26"/>
      <c r="M4" s="74"/>
      <c r="N4" s="108"/>
      <c r="O4" s="109"/>
      <c r="P4" s="110"/>
      <c r="Q4" s="80"/>
      <c r="R4" s="114"/>
    </row>
    <row r="5" spans="1:18" ht="35.1" customHeight="1" x14ac:dyDescent="0.4">
      <c r="A5" s="128" t="s">
        <v>42</v>
      </c>
      <c r="B5" s="128"/>
      <c r="C5" s="128"/>
      <c r="D5" s="45"/>
      <c r="E5" s="45"/>
      <c r="F5" s="45"/>
      <c r="G5" s="45"/>
      <c r="H5" s="45"/>
      <c r="I5" s="45"/>
      <c r="J5" s="111"/>
      <c r="K5" s="112"/>
      <c r="L5" s="45"/>
      <c r="M5" s="45"/>
      <c r="N5" s="45"/>
      <c r="O5" s="45"/>
      <c r="P5" s="113"/>
      <c r="Q5" s="45"/>
      <c r="R5" s="114"/>
    </row>
  </sheetData>
  <sheetProtection formatColumns="0" formatRows="0" autoFilter="0"/>
  <mergeCells count="8">
    <mergeCell ref="A1:C1"/>
    <mergeCell ref="P2:P3"/>
    <mergeCell ref="Q2:Q3"/>
    <mergeCell ref="E1:L1"/>
    <mergeCell ref="A5:C5"/>
    <mergeCell ref="A2:A3"/>
    <mergeCell ref="B2:B3"/>
    <mergeCell ref="C2:C3"/>
  </mergeCells>
  <phoneticPr fontId="9"/>
  <dataValidations count="4">
    <dataValidation imeMode="disabled" allowBlank="1" showInputMessage="1" showErrorMessage="1" sqref="B2:B3"/>
    <dataValidation imeMode="on" allowBlank="1" showInputMessage="1" showErrorMessage="1" sqref="C1:C5"/>
    <dataValidation imeMode="off" allowBlank="1" showInputMessage="1" showErrorMessage="1" sqref="D4:E4 Q4 H4:P5"/>
    <dataValidation type="list" imeMode="off" allowBlank="1" showInputMessage="1" showErrorMessage="1" sqref="F4:G4">
      <formula1>担当者</formula1>
    </dataValidation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outlinePr summaryBelow="0" summaryRight="0"/>
    <pageSetUpPr autoPageBreaks="0"/>
  </sheetPr>
  <dimension ref="A1:Q36"/>
  <sheetViews>
    <sheetView showGridLines="0" zoomScale="85" zoomScaleNormal="85" workbookViewId="0">
      <pane xSplit="1" ySplit="5" topLeftCell="B21" activePane="bottomRight" state="frozen"/>
      <selection pane="topRight" activeCell="M1" sqref="M1"/>
      <selection pane="bottomLeft" activeCell="A6" sqref="A6"/>
      <selection pane="bottomRight" activeCell="C6" sqref="C6:F36"/>
    </sheetView>
  </sheetViews>
  <sheetFormatPr defaultColWidth="3.125" defaultRowHeight="20.100000000000001" customHeight="1" x14ac:dyDescent="0.4"/>
  <cols>
    <col min="1" max="1" width="4.625" style="27" customWidth="1"/>
    <col min="2" max="2" width="3.625" style="27" customWidth="1"/>
    <col min="3" max="3" width="40.625" style="27" customWidth="1"/>
    <col min="4" max="5" width="6.625" style="34" customWidth="1"/>
    <col min="6" max="7" width="7.625" style="28" customWidth="1"/>
    <col min="8" max="9" width="6.625" style="34" customWidth="1"/>
    <col min="10" max="11" width="6.625" style="35" customWidth="1"/>
    <col min="12" max="13" width="5.625" style="28" customWidth="1"/>
    <col min="14" max="15" width="7.625" style="78" customWidth="1"/>
    <col min="16" max="16" width="10.625" style="79" customWidth="1"/>
    <col min="17" max="17" width="40.625" style="27" customWidth="1"/>
    <col min="18" max="16384" width="3.125" style="22"/>
  </cols>
  <sheetData>
    <row r="1" spans="1:17" ht="20.100000000000001" customHeight="1" x14ac:dyDescent="0.4">
      <c r="A1" s="122"/>
      <c r="B1" s="123"/>
      <c r="C1" s="123"/>
      <c r="D1" s="30"/>
      <c r="E1" s="123"/>
      <c r="F1" s="123"/>
      <c r="G1" s="123"/>
      <c r="H1" s="123"/>
      <c r="I1" s="123"/>
      <c r="J1" s="123"/>
      <c r="K1" s="123"/>
      <c r="L1" s="123"/>
      <c r="M1" s="51"/>
      <c r="N1" s="60"/>
      <c r="O1" s="60"/>
      <c r="P1" s="63"/>
      <c r="Q1" s="72"/>
    </row>
    <row r="2" spans="1:17" ht="20.100000000000001" customHeight="1" x14ac:dyDescent="0.4">
      <c r="A2" s="129" t="s">
        <v>84</v>
      </c>
      <c r="B2" s="129" t="s">
        <v>0</v>
      </c>
      <c r="C2" s="130" t="s">
        <v>83</v>
      </c>
      <c r="D2" s="31" t="s">
        <v>2</v>
      </c>
      <c r="E2" s="44"/>
      <c r="F2" s="23" t="s">
        <v>1</v>
      </c>
      <c r="G2" s="42"/>
      <c r="H2" s="31" t="s">
        <v>45</v>
      </c>
      <c r="I2" s="44"/>
      <c r="J2" s="70" t="s">
        <v>52</v>
      </c>
      <c r="K2" s="65"/>
      <c r="L2" s="23" t="s">
        <v>41</v>
      </c>
      <c r="M2" s="73"/>
      <c r="N2" s="61" t="s">
        <v>46</v>
      </c>
      <c r="O2" s="76"/>
      <c r="P2" s="131" t="s">
        <v>57</v>
      </c>
      <c r="Q2" s="133" t="s">
        <v>47</v>
      </c>
    </row>
    <row r="3" spans="1:17" s="37" customFormat="1" ht="20.100000000000001" customHeight="1" x14ac:dyDescent="0.4">
      <c r="A3" s="129"/>
      <c r="B3" s="129"/>
      <c r="C3" s="130"/>
      <c r="D3" s="69" t="s">
        <v>5</v>
      </c>
      <c r="E3" s="69" t="s">
        <v>6</v>
      </c>
      <c r="F3" s="43" t="s">
        <v>3</v>
      </c>
      <c r="G3" s="43" t="s">
        <v>4</v>
      </c>
      <c r="H3" s="69" t="s">
        <v>48</v>
      </c>
      <c r="I3" s="69" t="s">
        <v>49</v>
      </c>
      <c r="J3" s="66" t="s">
        <v>53</v>
      </c>
      <c r="K3" s="66" t="s">
        <v>54</v>
      </c>
      <c r="L3" s="43" t="s">
        <v>7</v>
      </c>
      <c r="M3" s="81" t="s">
        <v>8</v>
      </c>
      <c r="N3" s="98" t="s">
        <v>50</v>
      </c>
      <c r="O3" s="98" t="s">
        <v>51</v>
      </c>
      <c r="P3" s="132"/>
      <c r="Q3" s="127"/>
    </row>
    <row r="4" spans="1:17" s="38" customFormat="1" ht="20.100000000000001" customHeight="1" x14ac:dyDescent="0.4">
      <c r="A4" s="24"/>
      <c r="B4" s="24"/>
      <c r="C4" s="25"/>
      <c r="D4" s="32"/>
      <c r="E4" s="33"/>
      <c r="F4" s="48"/>
      <c r="G4" s="49"/>
      <c r="H4" s="32"/>
      <c r="I4" s="41"/>
      <c r="J4" s="36"/>
      <c r="K4" s="40"/>
      <c r="L4" s="26"/>
      <c r="M4" s="74"/>
      <c r="N4" s="46"/>
      <c r="O4" s="77"/>
      <c r="P4" s="47"/>
      <c r="Q4" s="80"/>
    </row>
    <row r="5" spans="1:17" ht="35.1" customHeight="1" x14ac:dyDescent="0.4">
      <c r="A5" s="128" t="s">
        <v>42</v>
      </c>
      <c r="B5" s="128"/>
      <c r="C5" s="128"/>
      <c r="D5" s="59"/>
      <c r="E5" s="59"/>
      <c r="F5" s="45"/>
      <c r="G5" s="45"/>
      <c r="H5" s="59"/>
      <c r="I5" s="59"/>
      <c r="J5" s="71"/>
      <c r="K5" s="67"/>
      <c r="L5" s="45"/>
      <c r="M5" s="45"/>
      <c r="N5" s="62"/>
      <c r="O5" s="62"/>
      <c r="P5" s="64"/>
      <c r="Q5" s="45"/>
    </row>
    <row r="6" spans="1:17" s="38" customFormat="1" ht="20.100000000000001" customHeight="1" x14ac:dyDescent="0.4">
      <c r="A6" s="24">
        <f t="shared" ref="A6:A36" si="0">ROW()-5</f>
        <v>1</v>
      </c>
      <c r="B6" s="24">
        <f>getIndentLevel(ROW())</f>
        <v>1</v>
      </c>
      <c r="C6" s="100" t="s">
        <v>195</v>
      </c>
      <c r="D6" s="32">
        <v>44053</v>
      </c>
      <c r="E6" s="33">
        <v>44077</v>
      </c>
      <c r="F6" s="48" t="s">
        <v>56</v>
      </c>
      <c r="G6" s="49"/>
      <c r="H6" s="32"/>
      <c r="I6" s="41"/>
      <c r="J6" s="36"/>
      <c r="K6" s="40"/>
      <c r="L6" s="26"/>
      <c r="M6" s="74"/>
      <c r="N6" s="46"/>
      <c r="O6" s="77"/>
      <c r="P6" s="47"/>
      <c r="Q6" s="80"/>
    </row>
    <row r="7" spans="1:17" s="38" customFormat="1" ht="20.100000000000001" customHeight="1" x14ac:dyDescent="0.4">
      <c r="A7" s="24">
        <f t="shared" si="0"/>
        <v>2</v>
      </c>
      <c r="B7" s="24">
        <f t="shared" ref="B7:B30" si="1">getIndentLevel(ROW())</f>
        <v>1</v>
      </c>
      <c r="C7" s="99" t="s">
        <v>196</v>
      </c>
      <c r="D7" s="32">
        <v>44053</v>
      </c>
      <c r="E7" s="33">
        <v>44062</v>
      </c>
      <c r="F7" s="48" t="s">
        <v>56</v>
      </c>
      <c r="G7" s="49"/>
      <c r="H7" s="32"/>
      <c r="I7" s="41"/>
      <c r="J7" s="36"/>
      <c r="K7" s="40"/>
      <c r="L7" s="26"/>
      <c r="M7" s="74"/>
      <c r="N7" s="46"/>
      <c r="O7" s="77"/>
      <c r="P7" s="47"/>
      <c r="Q7" s="80"/>
    </row>
    <row r="8" spans="1:17" s="38" customFormat="1" ht="20.100000000000001" customHeight="1" x14ac:dyDescent="0.4">
      <c r="A8" s="24">
        <f t="shared" si="0"/>
        <v>3</v>
      </c>
      <c r="B8" s="24">
        <f t="shared" si="1"/>
        <v>1</v>
      </c>
      <c r="C8" s="101" t="s">
        <v>192</v>
      </c>
      <c r="D8" s="32">
        <v>44055</v>
      </c>
      <c r="E8" s="33">
        <v>44057</v>
      </c>
      <c r="F8" s="48"/>
      <c r="G8" s="49"/>
      <c r="H8" s="32"/>
      <c r="I8" s="41"/>
      <c r="J8" s="36"/>
      <c r="K8" s="40"/>
      <c r="L8" s="26"/>
      <c r="M8" s="74"/>
      <c r="N8" s="46"/>
      <c r="O8" s="77"/>
      <c r="P8" s="47"/>
      <c r="Q8" s="80"/>
    </row>
    <row r="9" spans="1:17" s="38" customFormat="1" ht="20.100000000000001" customHeight="1" x14ac:dyDescent="0.4">
      <c r="A9" s="24">
        <f t="shared" si="0"/>
        <v>4</v>
      </c>
      <c r="B9" s="24">
        <f t="shared" si="1"/>
        <v>1</v>
      </c>
      <c r="C9" s="101" t="s">
        <v>193</v>
      </c>
      <c r="D9" s="32">
        <v>44056</v>
      </c>
      <c r="E9" s="33">
        <v>44061</v>
      </c>
      <c r="F9" s="48"/>
      <c r="G9" s="49"/>
      <c r="H9" s="32"/>
      <c r="I9" s="41"/>
      <c r="J9" s="36"/>
      <c r="K9" s="40"/>
      <c r="L9" s="26"/>
      <c r="M9" s="74"/>
      <c r="N9" s="46"/>
      <c r="O9" s="77"/>
      <c r="P9" s="47"/>
      <c r="Q9" s="80"/>
    </row>
    <row r="10" spans="1:17" s="38" customFormat="1" ht="20.100000000000001" customHeight="1" x14ac:dyDescent="0.4">
      <c r="A10" s="24">
        <f t="shared" si="0"/>
        <v>5</v>
      </c>
      <c r="B10" s="24">
        <f t="shared" si="1"/>
        <v>1</v>
      </c>
      <c r="C10" s="101" t="s">
        <v>194</v>
      </c>
      <c r="D10" s="32">
        <v>44053</v>
      </c>
      <c r="E10" s="33">
        <v>44062</v>
      </c>
      <c r="F10" s="48"/>
      <c r="G10" s="49"/>
      <c r="H10" s="32"/>
      <c r="I10" s="41"/>
      <c r="J10" s="36"/>
      <c r="K10" s="40"/>
      <c r="L10" s="26"/>
      <c r="M10" s="74"/>
      <c r="N10" s="46"/>
      <c r="O10" s="77"/>
      <c r="P10" s="47"/>
      <c r="Q10" s="80"/>
    </row>
    <row r="11" spans="1:17" ht="20.100000000000001" customHeight="1" x14ac:dyDescent="0.4">
      <c r="A11" s="24">
        <f t="shared" si="0"/>
        <v>6</v>
      </c>
      <c r="B11" s="24">
        <f>getIndentLevel(ROW())</f>
        <v>1</v>
      </c>
      <c r="C11" s="99" t="s">
        <v>141</v>
      </c>
      <c r="D11" s="32">
        <v>44060</v>
      </c>
      <c r="E11" s="33">
        <v>44071</v>
      </c>
      <c r="F11" s="48" t="s">
        <v>56</v>
      </c>
      <c r="G11" s="49"/>
      <c r="H11" s="32"/>
      <c r="I11" s="41"/>
      <c r="J11" s="36"/>
      <c r="K11" s="40"/>
      <c r="L11" s="26"/>
      <c r="M11" s="74"/>
      <c r="N11" s="46"/>
      <c r="O11" s="77"/>
      <c r="P11" s="47"/>
      <c r="Q11" s="80"/>
    </row>
    <row r="12" spans="1:17" s="38" customFormat="1" ht="20.100000000000001" customHeight="1" x14ac:dyDescent="0.4">
      <c r="A12" s="24">
        <f t="shared" si="0"/>
        <v>7</v>
      </c>
      <c r="B12" s="24">
        <f t="shared" si="1"/>
        <v>1</v>
      </c>
      <c r="C12" s="101" t="s">
        <v>208</v>
      </c>
      <c r="D12" s="32">
        <v>44060</v>
      </c>
      <c r="E12" s="33">
        <v>44071</v>
      </c>
      <c r="F12" s="48" t="s">
        <v>56</v>
      </c>
      <c r="G12" s="49"/>
      <c r="H12" s="32"/>
      <c r="I12" s="41"/>
      <c r="J12" s="36"/>
      <c r="K12" s="40"/>
      <c r="L12" s="26"/>
      <c r="M12" s="74"/>
      <c r="N12" s="46"/>
      <c r="O12" s="77"/>
      <c r="P12" s="47"/>
      <c r="Q12" s="80"/>
    </row>
    <row r="13" spans="1:17" s="38" customFormat="1" ht="20.100000000000001" customHeight="1" x14ac:dyDescent="0.4">
      <c r="A13" s="24">
        <f t="shared" si="0"/>
        <v>8</v>
      </c>
      <c r="B13" s="24">
        <f t="shared" si="1"/>
        <v>1</v>
      </c>
      <c r="C13" s="102" t="s">
        <v>192</v>
      </c>
      <c r="D13" s="32">
        <v>44060</v>
      </c>
      <c r="E13" s="33">
        <v>44062</v>
      </c>
      <c r="F13" s="48"/>
      <c r="G13" s="49"/>
      <c r="H13" s="32"/>
      <c r="I13" s="41"/>
      <c r="J13" s="36"/>
      <c r="K13" s="40"/>
      <c r="L13" s="26"/>
      <c r="M13" s="74"/>
      <c r="N13" s="46"/>
      <c r="O13" s="77"/>
      <c r="P13" s="47"/>
      <c r="Q13" s="80"/>
    </row>
    <row r="14" spans="1:17" s="38" customFormat="1" ht="20.100000000000001" customHeight="1" x14ac:dyDescent="0.4">
      <c r="A14" s="24">
        <f t="shared" si="0"/>
        <v>9</v>
      </c>
      <c r="B14" s="24">
        <f t="shared" si="1"/>
        <v>1</v>
      </c>
      <c r="C14" s="102" t="s">
        <v>193</v>
      </c>
      <c r="D14" s="32">
        <v>44062</v>
      </c>
      <c r="E14" s="33">
        <v>44064</v>
      </c>
      <c r="F14" s="48"/>
      <c r="G14" s="49"/>
      <c r="H14" s="32"/>
      <c r="I14" s="41"/>
      <c r="J14" s="36"/>
      <c r="K14" s="40"/>
      <c r="L14" s="26"/>
      <c r="M14" s="74"/>
      <c r="N14" s="46"/>
      <c r="O14" s="77"/>
      <c r="P14" s="47"/>
      <c r="Q14" s="80"/>
    </row>
    <row r="15" spans="1:17" s="38" customFormat="1" ht="20.100000000000001" customHeight="1" x14ac:dyDescent="0.4">
      <c r="A15" s="24">
        <f t="shared" si="0"/>
        <v>10</v>
      </c>
      <c r="B15" s="24">
        <f t="shared" si="1"/>
        <v>1</v>
      </c>
      <c r="C15" s="102" t="s">
        <v>194</v>
      </c>
      <c r="D15" s="32">
        <v>44067</v>
      </c>
      <c r="E15" s="33">
        <v>44069</v>
      </c>
      <c r="F15" s="48"/>
      <c r="G15" s="49"/>
      <c r="H15" s="32"/>
      <c r="I15" s="41"/>
      <c r="J15" s="36"/>
      <c r="K15" s="40"/>
      <c r="L15" s="26"/>
      <c r="M15" s="74"/>
      <c r="N15" s="103"/>
      <c r="O15" s="77"/>
      <c r="P15" s="47"/>
      <c r="Q15" s="80"/>
    </row>
    <row r="16" spans="1:17" s="38" customFormat="1" ht="20.100000000000001" customHeight="1" x14ac:dyDescent="0.4">
      <c r="A16" s="24">
        <f t="shared" si="0"/>
        <v>11</v>
      </c>
      <c r="B16" s="24">
        <f t="shared" si="1"/>
        <v>1</v>
      </c>
      <c r="C16" s="102" t="s">
        <v>94</v>
      </c>
      <c r="D16" s="32">
        <v>44069</v>
      </c>
      <c r="E16" s="33">
        <v>44069</v>
      </c>
      <c r="F16" s="48"/>
      <c r="G16" s="49"/>
      <c r="H16" s="32"/>
      <c r="I16" s="41"/>
      <c r="J16" s="36"/>
      <c r="K16" s="40"/>
      <c r="L16" s="26"/>
      <c r="M16" s="74"/>
      <c r="N16" s="46"/>
      <c r="O16" s="77"/>
      <c r="P16" s="47"/>
      <c r="Q16" s="80"/>
    </row>
    <row r="17" spans="1:17" s="38" customFormat="1" ht="20.100000000000001" customHeight="1" x14ac:dyDescent="0.4">
      <c r="A17" s="24">
        <f t="shared" si="0"/>
        <v>12</v>
      </c>
      <c r="B17" s="24">
        <f t="shared" si="1"/>
        <v>1</v>
      </c>
      <c r="C17" s="102" t="s">
        <v>207</v>
      </c>
      <c r="D17" s="32">
        <v>44069</v>
      </c>
      <c r="E17" s="33">
        <v>44071</v>
      </c>
      <c r="F17" s="48"/>
      <c r="G17" s="49"/>
      <c r="H17" s="32"/>
      <c r="I17" s="41"/>
      <c r="J17" s="36"/>
      <c r="K17" s="40"/>
      <c r="L17" s="26"/>
      <c r="M17" s="74"/>
      <c r="N17" s="46"/>
      <c r="O17" s="77"/>
      <c r="P17" s="47"/>
      <c r="Q17" s="80"/>
    </row>
    <row r="18" spans="1:17" s="38" customFormat="1" ht="20.100000000000001" customHeight="1" x14ac:dyDescent="0.4">
      <c r="A18" s="24">
        <f t="shared" si="0"/>
        <v>13</v>
      </c>
      <c r="B18" s="24">
        <f t="shared" si="1"/>
        <v>1</v>
      </c>
      <c r="C18" s="101" t="s">
        <v>197</v>
      </c>
      <c r="D18" s="32">
        <v>44071</v>
      </c>
      <c r="E18" s="33">
        <v>44071</v>
      </c>
      <c r="F18" s="48" t="s">
        <v>56</v>
      </c>
      <c r="G18" s="49"/>
      <c r="H18" s="32"/>
      <c r="I18" s="41"/>
      <c r="J18" s="36"/>
      <c r="K18" s="40"/>
      <c r="L18" s="26"/>
      <c r="M18" s="74"/>
      <c r="N18" s="46"/>
      <c r="O18" s="77"/>
      <c r="P18" s="47"/>
      <c r="Q18" s="80"/>
    </row>
    <row r="19" spans="1:17" s="38" customFormat="1" ht="20.100000000000001" customHeight="1" x14ac:dyDescent="0.4">
      <c r="A19" s="24">
        <f t="shared" si="0"/>
        <v>14</v>
      </c>
      <c r="B19" s="24">
        <f t="shared" si="1"/>
        <v>1</v>
      </c>
      <c r="C19" s="102" t="s">
        <v>94</v>
      </c>
      <c r="D19" s="32">
        <v>44071</v>
      </c>
      <c r="E19" s="33">
        <v>44071</v>
      </c>
      <c r="F19" s="48"/>
      <c r="G19" s="49"/>
      <c r="H19" s="32"/>
      <c r="I19" s="41"/>
      <c r="J19" s="36"/>
      <c r="K19" s="40"/>
      <c r="L19" s="26"/>
      <c r="M19" s="74"/>
      <c r="N19" s="46"/>
      <c r="O19" s="77"/>
      <c r="P19" s="47"/>
      <c r="Q19" s="80"/>
    </row>
    <row r="20" spans="1:17" s="38" customFormat="1" ht="20.100000000000001" customHeight="1" x14ac:dyDescent="0.4">
      <c r="A20" s="24">
        <f t="shared" si="0"/>
        <v>15</v>
      </c>
      <c r="B20" s="24">
        <f>getIndentLevel(ROW())</f>
        <v>1</v>
      </c>
      <c r="C20" s="99" t="s">
        <v>206</v>
      </c>
      <c r="D20" s="32">
        <v>44074</v>
      </c>
      <c r="E20" s="33">
        <v>44077</v>
      </c>
      <c r="F20" s="48" t="s">
        <v>56</v>
      </c>
      <c r="G20" s="49"/>
      <c r="H20" s="32"/>
      <c r="I20" s="41"/>
      <c r="J20" s="36"/>
      <c r="K20" s="40"/>
      <c r="L20" s="26"/>
      <c r="M20" s="74"/>
      <c r="N20" s="46"/>
      <c r="O20" s="77"/>
      <c r="P20" s="47"/>
      <c r="Q20" s="80"/>
    </row>
    <row r="21" spans="1:17" s="38" customFormat="1" ht="20.100000000000001" customHeight="1" x14ac:dyDescent="0.4">
      <c r="A21" s="24">
        <f t="shared" si="0"/>
        <v>16</v>
      </c>
      <c r="B21" s="24">
        <f>getIndentLevel(ROW())</f>
        <v>1</v>
      </c>
      <c r="C21" s="101" t="s">
        <v>198</v>
      </c>
      <c r="D21" s="32">
        <v>44074</v>
      </c>
      <c r="E21" s="33">
        <v>44077</v>
      </c>
      <c r="F21" s="48"/>
      <c r="G21" s="49"/>
      <c r="H21" s="32"/>
      <c r="I21" s="41"/>
      <c r="J21" s="36"/>
      <c r="K21" s="40"/>
      <c r="L21" s="26"/>
      <c r="M21" s="74"/>
      <c r="N21" s="46"/>
      <c r="O21" s="77"/>
      <c r="P21" s="47"/>
      <c r="Q21" s="80"/>
    </row>
    <row r="22" spans="1:17" s="38" customFormat="1" ht="20.100000000000001" customHeight="1" x14ac:dyDescent="0.4">
      <c r="A22" s="24">
        <f t="shared" si="0"/>
        <v>17</v>
      </c>
      <c r="B22" s="24">
        <f>getIndentLevel(ROW())</f>
        <v>1</v>
      </c>
      <c r="C22" s="100" t="s">
        <v>199</v>
      </c>
      <c r="D22" s="32">
        <v>44078</v>
      </c>
      <c r="E22" s="33">
        <v>44083</v>
      </c>
      <c r="F22" s="48" t="s">
        <v>56</v>
      </c>
      <c r="G22" s="49"/>
      <c r="H22" s="32"/>
      <c r="I22" s="41"/>
      <c r="J22" s="36"/>
      <c r="K22" s="40"/>
      <c r="L22" s="26"/>
      <c r="M22" s="74"/>
      <c r="N22" s="46"/>
      <c r="O22" s="77"/>
      <c r="P22" s="47"/>
      <c r="Q22" s="80"/>
    </row>
    <row r="23" spans="1:17" s="38" customFormat="1" ht="20.100000000000001" customHeight="1" x14ac:dyDescent="0.4">
      <c r="A23" s="24">
        <f t="shared" si="0"/>
        <v>18</v>
      </c>
      <c r="B23" s="24">
        <f t="shared" si="1"/>
        <v>1</v>
      </c>
      <c r="C23" s="99" t="s">
        <v>200</v>
      </c>
      <c r="D23" s="32">
        <v>44078</v>
      </c>
      <c r="E23" s="33">
        <v>44082</v>
      </c>
      <c r="F23" s="48"/>
      <c r="G23" s="49"/>
      <c r="H23" s="32"/>
      <c r="I23" s="41"/>
      <c r="J23" s="36"/>
      <c r="K23" s="40"/>
      <c r="L23" s="26"/>
      <c r="M23" s="74"/>
      <c r="N23" s="46"/>
      <c r="O23" s="77"/>
      <c r="P23" s="47"/>
      <c r="Q23" s="80"/>
    </row>
    <row r="24" spans="1:17" s="38" customFormat="1" ht="20.100000000000001" customHeight="1" x14ac:dyDescent="0.4">
      <c r="A24" s="24">
        <f t="shared" si="0"/>
        <v>19</v>
      </c>
      <c r="B24" s="24">
        <f t="shared" si="1"/>
        <v>1</v>
      </c>
      <c r="C24" s="99" t="s">
        <v>201</v>
      </c>
      <c r="D24" s="32">
        <v>44081</v>
      </c>
      <c r="E24" s="33">
        <v>44083</v>
      </c>
      <c r="F24" s="48" t="s">
        <v>56</v>
      </c>
      <c r="G24" s="49"/>
      <c r="H24" s="32"/>
      <c r="I24" s="41"/>
      <c r="J24" s="36"/>
      <c r="K24" s="40"/>
      <c r="L24" s="26"/>
      <c r="M24" s="74"/>
      <c r="N24" s="46"/>
      <c r="O24" s="77"/>
      <c r="P24" s="47"/>
      <c r="Q24" s="80"/>
    </row>
    <row r="25" spans="1:17" s="38" customFormat="1" ht="20.100000000000001" customHeight="1" x14ac:dyDescent="0.4">
      <c r="A25" s="24">
        <f t="shared" si="0"/>
        <v>20</v>
      </c>
      <c r="B25" s="24">
        <f>getIndentLevel(ROW())</f>
        <v>1</v>
      </c>
      <c r="C25" s="101" t="s">
        <v>96</v>
      </c>
      <c r="D25" s="32">
        <v>44081</v>
      </c>
      <c r="E25" s="33">
        <v>44081</v>
      </c>
      <c r="F25" s="48"/>
      <c r="G25" s="49"/>
      <c r="H25" s="32"/>
      <c r="I25" s="41"/>
      <c r="J25" s="36"/>
      <c r="K25" s="40"/>
      <c r="L25" s="26"/>
      <c r="M25" s="74"/>
      <c r="N25" s="46"/>
      <c r="O25" s="77"/>
      <c r="P25" s="47"/>
      <c r="Q25" s="80"/>
    </row>
    <row r="26" spans="1:17" s="38" customFormat="1" ht="20.100000000000001" customHeight="1" x14ac:dyDescent="0.4">
      <c r="A26" s="24">
        <f t="shared" si="0"/>
        <v>21</v>
      </c>
      <c r="B26" s="24">
        <f t="shared" si="1"/>
        <v>1</v>
      </c>
      <c r="C26" s="101" t="s">
        <v>97</v>
      </c>
      <c r="D26" s="32">
        <v>44081</v>
      </c>
      <c r="E26" s="33">
        <v>44082</v>
      </c>
      <c r="F26" s="48" t="s">
        <v>56</v>
      </c>
      <c r="G26" s="49"/>
      <c r="H26" s="32"/>
      <c r="I26" s="41"/>
      <c r="J26" s="36"/>
      <c r="K26" s="40"/>
      <c r="L26" s="26"/>
      <c r="M26" s="74"/>
      <c r="N26" s="46"/>
      <c r="O26" s="77"/>
      <c r="P26" s="47"/>
      <c r="Q26" s="80"/>
    </row>
    <row r="27" spans="1:17" ht="20.100000000000001" customHeight="1" x14ac:dyDescent="0.4">
      <c r="A27" s="24">
        <f t="shared" si="0"/>
        <v>22</v>
      </c>
      <c r="B27" s="24">
        <f t="shared" si="1"/>
        <v>1</v>
      </c>
      <c r="C27" s="102" t="s">
        <v>202</v>
      </c>
      <c r="D27" s="32">
        <v>44081</v>
      </c>
      <c r="E27" s="33">
        <v>44081</v>
      </c>
      <c r="F27" s="48"/>
      <c r="G27" s="49"/>
      <c r="H27" s="32"/>
      <c r="I27" s="41"/>
      <c r="J27" s="36"/>
      <c r="K27" s="40"/>
      <c r="L27" s="26"/>
      <c r="M27" s="74"/>
      <c r="N27" s="46"/>
      <c r="O27" s="77"/>
      <c r="P27" s="47"/>
      <c r="Q27" s="80"/>
    </row>
    <row r="28" spans="1:17" ht="20.100000000000001" customHeight="1" x14ac:dyDescent="0.4">
      <c r="A28" s="24">
        <f t="shared" si="0"/>
        <v>23</v>
      </c>
      <c r="B28" s="24">
        <f t="shared" si="1"/>
        <v>1</v>
      </c>
      <c r="C28" s="102" t="s">
        <v>125</v>
      </c>
      <c r="D28" s="32">
        <v>44082</v>
      </c>
      <c r="E28" s="33">
        <v>44082</v>
      </c>
      <c r="F28" s="48"/>
      <c r="G28" s="49"/>
      <c r="H28" s="32"/>
      <c r="I28" s="41"/>
      <c r="J28" s="36"/>
      <c r="K28" s="40"/>
      <c r="L28" s="26"/>
      <c r="M28" s="74"/>
      <c r="N28" s="46"/>
      <c r="O28" s="77"/>
      <c r="P28" s="47"/>
      <c r="Q28" s="80"/>
    </row>
    <row r="29" spans="1:17" ht="20.100000000000001" customHeight="1" x14ac:dyDescent="0.4">
      <c r="A29" s="24">
        <f t="shared" si="0"/>
        <v>24</v>
      </c>
      <c r="B29" s="24">
        <f t="shared" si="1"/>
        <v>1</v>
      </c>
      <c r="C29" s="101" t="s">
        <v>203</v>
      </c>
      <c r="D29" s="32">
        <v>44083</v>
      </c>
      <c r="E29" s="33">
        <v>44083</v>
      </c>
      <c r="F29" s="48"/>
      <c r="G29" s="49"/>
      <c r="H29" s="32"/>
      <c r="I29" s="41"/>
      <c r="J29" s="36"/>
      <c r="K29" s="40"/>
      <c r="L29" s="26"/>
      <c r="M29" s="74"/>
      <c r="N29" s="46"/>
      <c r="O29" s="77"/>
      <c r="P29" s="47"/>
      <c r="Q29" s="80"/>
    </row>
    <row r="30" spans="1:17" ht="20.100000000000001" customHeight="1" x14ac:dyDescent="0.4">
      <c r="A30" s="24">
        <f t="shared" si="0"/>
        <v>25</v>
      </c>
      <c r="B30" s="24">
        <f t="shared" si="1"/>
        <v>1</v>
      </c>
      <c r="C30" s="100" t="s">
        <v>204</v>
      </c>
      <c r="D30" s="32">
        <v>44084</v>
      </c>
      <c r="E30" s="33">
        <v>44092</v>
      </c>
      <c r="F30" s="48" t="s">
        <v>56</v>
      </c>
      <c r="G30" s="49"/>
      <c r="H30" s="32"/>
      <c r="I30" s="41"/>
      <c r="J30" s="36"/>
      <c r="K30" s="40"/>
      <c r="L30" s="26"/>
      <c r="M30" s="74"/>
      <c r="N30" s="46"/>
      <c r="O30" s="77"/>
      <c r="P30" s="47"/>
      <c r="Q30" s="80"/>
    </row>
    <row r="31" spans="1:17" ht="20.100000000000001" customHeight="1" x14ac:dyDescent="0.4">
      <c r="A31" s="24">
        <f t="shared" si="0"/>
        <v>26</v>
      </c>
      <c r="B31" s="24">
        <f>getIndentLevel(ROW())</f>
        <v>1</v>
      </c>
      <c r="C31" s="99" t="s">
        <v>200</v>
      </c>
      <c r="D31" s="32">
        <v>44084</v>
      </c>
      <c r="E31" s="33">
        <v>44084</v>
      </c>
      <c r="F31" s="48"/>
      <c r="G31" s="49"/>
      <c r="H31" s="32"/>
      <c r="I31" s="41"/>
      <c r="J31" s="36"/>
      <c r="K31" s="40"/>
      <c r="L31" s="26"/>
      <c r="M31" s="74"/>
      <c r="N31" s="46"/>
      <c r="O31" s="77"/>
      <c r="P31" s="47"/>
      <c r="Q31" s="80"/>
    </row>
    <row r="32" spans="1:17" ht="20.100000000000001" customHeight="1" x14ac:dyDescent="0.4">
      <c r="A32" s="24">
        <f t="shared" si="0"/>
        <v>27</v>
      </c>
      <c r="B32" s="24">
        <f>getIndentLevel(ROW())</f>
        <v>1</v>
      </c>
      <c r="C32" s="99" t="s">
        <v>201</v>
      </c>
      <c r="D32" s="32">
        <v>44085</v>
      </c>
      <c r="E32" s="33">
        <v>44092</v>
      </c>
      <c r="F32" s="48" t="s">
        <v>56</v>
      </c>
      <c r="G32" s="49"/>
      <c r="H32" s="32"/>
      <c r="I32" s="41"/>
      <c r="J32" s="36"/>
      <c r="K32" s="40"/>
      <c r="L32" s="26"/>
      <c r="M32" s="74"/>
      <c r="N32" s="46"/>
      <c r="O32" s="77"/>
      <c r="P32" s="47"/>
      <c r="Q32" s="80"/>
    </row>
    <row r="33" spans="1:17" ht="20.100000000000001" customHeight="1" x14ac:dyDescent="0.4">
      <c r="A33" s="24">
        <f t="shared" si="0"/>
        <v>28</v>
      </c>
      <c r="B33" s="24">
        <f t="shared" ref="B33:B36" si="2">getIndentLevel(ROW())</f>
        <v>1</v>
      </c>
      <c r="C33" s="101" t="s">
        <v>96</v>
      </c>
      <c r="D33" s="32">
        <v>44085</v>
      </c>
      <c r="E33" s="33">
        <v>44085</v>
      </c>
      <c r="F33" s="48"/>
      <c r="G33" s="49"/>
      <c r="H33" s="32"/>
      <c r="I33" s="41"/>
      <c r="J33" s="36"/>
      <c r="K33" s="40"/>
      <c r="L33" s="26"/>
      <c r="M33" s="74"/>
      <c r="N33" s="46"/>
      <c r="O33" s="77"/>
      <c r="P33" s="47"/>
      <c r="Q33" s="80"/>
    </row>
    <row r="34" spans="1:17" ht="20.100000000000001" customHeight="1" x14ac:dyDescent="0.4">
      <c r="A34" s="24">
        <f t="shared" si="0"/>
        <v>29</v>
      </c>
      <c r="B34" s="24">
        <f t="shared" si="2"/>
        <v>1</v>
      </c>
      <c r="C34" s="101" t="s">
        <v>97</v>
      </c>
      <c r="D34" s="32">
        <v>44088</v>
      </c>
      <c r="E34" s="33">
        <v>44088</v>
      </c>
      <c r="F34" s="48"/>
      <c r="G34" s="49"/>
      <c r="H34" s="32"/>
      <c r="I34" s="41"/>
      <c r="J34" s="36"/>
      <c r="K34" s="40"/>
      <c r="L34" s="26"/>
      <c r="M34" s="74"/>
      <c r="N34" s="46"/>
      <c r="O34" s="77"/>
      <c r="P34" s="47"/>
      <c r="Q34" s="80"/>
    </row>
    <row r="35" spans="1:17" ht="20.100000000000001" customHeight="1" x14ac:dyDescent="0.4">
      <c r="A35" s="24">
        <f t="shared" si="0"/>
        <v>30</v>
      </c>
      <c r="B35" s="24">
        <f t="shared" si="2"/>
        <v>1</v>
      </c>
      <c r="C35" s="101" t="s">
        <v>203</v>
      </c>
      <c r="D35" s="32">
        <v>44089</v>
      </c>
      <c r="E35" s="33">
        <v>44092</v>
      </c>
      <c r="F35" s="48"/>
      <c r="G35" s="49"/>
      <c r="H35" s="32"/>
      <c r="I35" s="41"/>
      <c r="J35" s="36"/>
      <c r="K35" s="40"/>
      <c r="L35" s="26"/>
      <c r="M35" s="74"/>
      <c r="N35" s="46"/>
      <c r="O35" s="77"/>
      <c r="P35" s="47"/>
      <c r="Q35" s="80"/>
    </row>
    <row r="36" spans="1:17" ht="20.100000000000001" customHeight="1" x14ac:dyDescent="0.4">
      <c r="A36" s="24">
        <f t="shared" si="0"/>
        <v>31</v>
      </c>
      <c r="B36" s="24">
        <f t="shared" si="2"/>
        <v>1</v>
      </c>
      <c r="C36" s="100" t="s">
        <v>55</v>
      </c>
      <c r="D36" s="32">
        <v>44097</v>
      </c>
      <c r="E36" s="33">
        <v>44097</v>
      </c>
      <c r="F36" s="48"/>
      <c r="G36" s="49"/>
      <c r="H36" s="32"/>
      <c r="I36" s="41"/>
      <c r="J36" s="36"/>
      <c r="K36" s="40"/>
      <c r="L36" s="26"/>
      <c r="M36" s="74"/>
      <c r="N36" s="46"/>
      <c r="O36" s="77"/>
      <c r="P36" s="47"/>
      <c r="Q36" s="80"/>
    </row>
  </sheetData>
  <sheetProtection formatColumns="0" formatRows="0" autoFilter="0"/>
  <mergeCells count="8">
    <mergeCell ref="P2:P3"/>
    <mergeCell ref="Q2:Q3"/>
    <mergeCell ref="A5:C5"/>
    <mergeCell ref="A2:A3"/>
    <mergeCell ref="B2:B3"/>
    <mergeCell ref="A1:C1"/>
    <mergeCell ref="E1:L1"/>
    <mergeCell ref="C2:C3"/>
  </mergeCells>
  <phoneticPr fontId="22"/>
  <dataValidations count="5">
    <dataValidation type="list" allowBlank="1" showInputMessage="1" showErrorMessage="1" sqref="F6:G36">
      <formula1>担当者</formula1>
    </dataValidation>
    <dataValidation type="list" imeMode="off" allowBlank="1" showInputMessage="1" showErrorMessage="1" sqref="F4:G4">
      <formula1>担当者</formula1>
    </dataValidation>
    <dataValidation imeMode="off" allowBlank="1" showInputMessage="1" showErrorMessage="1" sqref="D4:E4 Q4 H4:P36"/>
    <dataValidation imeMode="on" allowBlank="1" showInputMessage="1" showErrorMessage="1" sqref="C1:C5 C6:E36"/>
    <dataValidation imeMode="disabled" allowBlank="1" showInputMessage="1" showErrorMessage="1" sqref="B2:B3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legacyDrawing r:id="rId2"/>
</worksheet>
</file>

<file path=customUI/customUI14.xml><?xml version="1.0" encoding="utf-8"?>
<customUI xmlns="http://schemas.microsoft.com/office/2009/07/customui" onLoad="ctl_ribbon.onLoad">
  <ribbon startFromScratch="false">
    <tabs>
      <tab id="TestSpecificationTab" label="進捗管理" insertBeforeMso="TabHome">
        <group id="Setting" label="設定">
          <button id="S_B001" size="large" label="Help" onAction="ctl_ribbonenu.Help" getSupertip="getSupertip" getDescription="getDescription" imageMso="Help"/>
          <button id="S_B002" size="large" label="オプション&#13;&#10;" onAction="ctl_ribbon.dispOption" getSupertip="getSupertip" getDescription="getDescription" imageMso="AnimationCustomAddActionVerbDialog"/>
          <button id="S_B003" size="large" label="カレンダー生成&#13;&#10;" onAction="ctl_ribbon.makeCalendar" getSupertip="getSupertip" getDescription="getDescription" imageMso="CalendarMonthDetailsSplitButton"/>
          <splitButton id="S_SB001" size="large">
            <button id="S_B004" label="View&#13;&#10;" onAction="ctl_ribbon.View" getSupertip="getSupertip" getDescription="getDescription" imageMso="ImportTextFile"/>
            <menu id="S_M100" itemSize="large">
              <button id="S_B005" label="設定" onAction="ctl_ribbon.ViewSetting" getSupertip="getSupertip" getDescription="getDescription" imageMso="GroupDataFormsTool"/>
            </menu>
          </splitButton>
        </group>
        <group id="Common" label="共通">
          <button id="Com_B001" size="large" label="全画面表示" onAction="ctl_ribbon.DispFullScreen" getSupertip="getSupertip" getDescription="getDescription" imageMso="ViewFullScreenView"/>
          <button id="Com_B002" size="large" label="選択行&#13;&#10;ハイライト" onAction="ctl_ribbon.setLineColor" getSupertip="getSupertip" getDescription="getDescription" imageMso="RecordsMoreRecordsMenu"/>
          <button id="Com_B003" size="large" label="全削除&#13;&#10;" onAction="ctl_ribbon.ClearAll" getSupertip="getSupertip" getDescription="getDescription" imageMso="ClearAll"/>
        </group>
        <group id="Task" label="WBS">
          <button id="T_B001" size="large" label="チェック&#13;&#10;" onAction="ctl_ribbon.chkTaskList" getSupertip="getSupertip" getDescription="getDescription" imageMso="DataValidation"/>
          <button id="T_B002" size="large" label="進捗コピー" onAction="ctl_ribbon.copyProgress" getSupertip="getSupertip" getDescription="getDescription" imageMso="GroupColumnActions"/>
          <button id="T_B003" size="large" label="抽出&#13;&#10;" onAction="ctl_ribbon.setFilter" getSupertip="getSupertip" getDescription="getDescription" imageMso="DatasheetColumnLookup"/>
          <button id="T_B004" size="large" label="すべて表示&#13;&#10;" onAction="ctl_ribbon.dispAllList" getSupertip="getSupertip" getDescription="getDescription" imageMso="FilterClearAllFilters"/>
        </group>
        <group id="Chart" label="ガントチャート">
          <button id="C_B001" size="large" label="クリア&#13;&#10;" onAction="ctl_ribbon.clearChart" getSupertip="getSupertip" getDescription="getDescription" imageMso="ClearAll"/>
          <button id="C_B002" size="large" label="センター&#13;&#10;" onAction="ctl_ribbon.setCenter" getSupertip="getSupertip" getDescription="getDescription" imageMso="FieldsMenu"/>
          <button id="C_B003" size="large" label="生成&#13;&#10;" onAction="ctl_ribbon.makeChart" getSupertip="getSupertip" getDescription="getDescription" imageMso="CalendarViewGallery"/>
        </group>
        <group id="Import" label="データ連携">
          <menu id="I_M001" label="インポート&#13;&#10;" size="large" itemSize="large" imageMso="CalendarToolImport">
            <menuSeparator id="I_S001" title="バイナリ形式のファイルをインポート"/>
            <button id="I_B001" label="Excel" onAction="ctl_ribbon.importExcel" getSupertip="getSupertip" getDescription="getDescription" imageMso="ImportWorkbook"/>
            <menuSeparator id="I_S002" title="テキスト形式のファイルをインポート"/>
            <button id="I_B002" label="CSV" onAction="ctl_ribbon.importCsv" getSupertip="getSupertip" getDescription="getDescription" imageMso="ImportTextFile"/>
          </menu>
          <menu id="E_M001" label="エクスポート&#13;&#10;" size="large" itemSize="large" imageMso="CalendarToolExportAllAppointments">
            <menuSeparator id="E_S001" title="バイナリ形式のファイルをエクスポート"/>
            <button id="E_B001" label="Excel" onAction="ctl_ribbon.importExcel" getSupertip="getSupertip" getDescription="getDescription" imageMso="ExportExcel"/>
            <menuSeparator id="E_S002" title="テキスト形式のファイルをエクスポート"/>
            <button id="E_B002" label="redMine" onAction="ctl_ribbon.importRedMine" getSupertip="getSupertip" getDescription="getDescription" imageMso="ExportTextFile"/>
            <button id="E_B003" label="OBPM" onAction="ctl_ribbon.importOBPM" getSupertip="getSupertip" getDescription="getDescription" imageMso="ExportTextFile"/>
          </menu>
        </group>
        <group id="Group2" label="標準機能">
          <control idMso="PasteValues" visible="true" label="値貼付"/>
          <!--値の貼り付け-->
          <menu id="MyMenu01" label="スタイル" itemSize="normal" imageMso="AppointmentColorDialog">
            <control idMso="CellStylesGallery" visible="true"/>
            <!--セルのスタイル-->
            <control idMso="FormatAsTableGallery" visible="true"/>
            <!--テーブルのスタイル-->
          </menu>
          <control idMso="WindowNew" visible="true" label="新ウインドウ"/>
          <!--新しいウインドウ-->
          <control idMso="WindowsArrangeAll" visible="true" label="整列"/>
          <!--整列-->
          <control idMso="ViewFreezePanesGallery" visible="true" label="枠固定"/>
          <!--ウインドウ枠の固定-->
          <control idMso="ViewGridlinesToggleExcel" visible="true" label="枠線表示"/>
          <!--枠線の表示-->
          <control idMso="TextBoxInsertMenu" visible="true" label="テキスト"/>
          <!--テキスト ボックス-->
          <menu id="MyMenu02" label="メニュー" itemSize="normal" imageMso="BlogHomePage">
            <control idMso="FileSaveAsOtherFormats" visible="true" label="別名保存"/>
            <!--他の形式で保存-->
            <control idMso="FilePrintPreview" visible="true"/>
            <!--印刷プレビュー-->
            <control idMso="FileSaveAsPdfOrXps" visible="true"/>
            <!--PDF生成-->
            <control idMso="FileOpen" visible="true"/>
            <!--開く-->
            <control idMso="FilePrepareMenu" visible="true"/>
            <!--配布準備-->
            <control idMso="ClearContents" visible="true"/>
            <!--数式と値のクリア-->
            <control idMso="RefreshAllMenu" visible="true"/>
            <!--すべて更新-->
            <control idMso="DataValidation" visible="true"/>
            <!--入力規則-->
            <control idMso="NameManager" visible="true"/>
            <!--名前の管理-->
          </menu>
        </group>
        <group idMso="GroupFont" visible="true"/>
        <!--フォント-->
      </tab>
    </tabs>
  </ribbon>
  <backstage>
    <tab id="tab1" label="進捗管理" visible="true">
      <firstColumn>
        <group id="grp1" label="更新情報" visible="true">
          <topItems>
            <labelControl id="v104-01" label="Ver.1.04　休日をマクロで設定するように変更"/>
            <labelControl id="v104-02" label="        　土日祝を色付け、リボンメニュー対応"/>
          </topItems>
        </group>
      </firstColumn>
      <secondColumn>
        <group id="grp2" label="参考サイト" visible="true">
          <topItems>
            <hyperlink id="grp2-201" label="Excelでお仕事!" target="http://www.ne.jp/asahi/excel/inoue/"/>
            <hyperlink id="grp2-202" label="開発マイルストーン" target="http://zudajijp.zouri.jp/km/"/>
          </topItems>
        </group>
        <group id="grp3" label="著作権について" visible="true">
          <topItems>
            <labelControl id="grp3-300" label="免責事項"/>
            <labelControl id="grp3-301" label="　・当コンテンツの利用に際し、いかなるトラブルが発生しても、作者は一切の責任を負いません。"/>
            <labelControl id="grp3-302" label="　・当コンテンツは予告無しに変更・削除されることがあります。"/>
            <labelControl id="grp3-303" label="　・このライセンスは予告なく改定される場合があります。"/>
            <labelControl id="grp3-311" label="Copyright (C) 2020 B.Koizumi All Rights Reserved."/>
            <hyperlink id="cp0913" label="Excel-VBA" target="https://github.com/bkoizumi/VBA/tree/master/WBS"/>
          </topItems>
        </group>
      </secondColumn>
    </tab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20</vt:i4>
      </vt:variant>
    </vt:vector>
  </HeadingPairs>
  <TitlesOfParts>
    <vt:vector size="27" baseType="lpstr">
      <vt:lpstr>Help</vt:lpstr>
      <vt:lpstr>Tmp</vt:lpstr>
      <vt:lpstr>Notice</vt:lpstr>
      <vt:lpstr>Ribbon</vt:lpstr>
      <vt:lpstr>設定</vt:lpstr>
      <vt:lpstr>WBS</vt:lpstr>
      <vt:lpstr>WBS (サンプル)</vt:lpstr>
      <vt:lpstr>baseDay</vt:lpstr>
      <vt:lpstr>CompanyHolidayColor</vt:lpstr>
      <vt:lpstr>debugMode</vt:lpstr>
      <vt:lpstr>endDay</vt:lpstr>
      <vt:lpstr>ganttChartLineType</vt:lpstr>
      <vt:lpstr>lineColor</vt:lpstr>
      <vt:lpstr>lineColor_Achievement</vt:lpstr>
      <vt:lpstr>lineColor_Lightning</vt:lpstr>
      <vt:lpstr>lineColor_Plan</vt:lpstr>
      <vt:lpstr>lineColor_TaskLevel1</vt:lpstr>
      <vt:lpstr>lineColor_TaskLevel2</vt:lpstr>
      <vt:lpstr>lineColorFlg</vt:lpstr>
      <vt:lpstr>SaturdayColor</vt:lpstr>
      <vt:lpstr>setDispProgress100</vt:lpstr>
      <vt:lpstr>setLightning</vt:lpstr>
      <vt:lpstr>startDay</vt:lpstr>
      <vt:lpstr>SundayColor</vt:lpstr>
      <vt:lpstr>workMode</vt:lpstr>
      <vt:lpstr>休日リスト</vt:lpstr>
      <vt:lpstr>担当者</vt:lpstr>
    </vt:vector>
  </TitlesOfParts>
  <Company>transcosmos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Koizumi.Bunpei</dc:creator>
  <cp:lastModifiedBy>Koizumi.Bunpei</cp:lastModifiedBy>
  <cp:lastPrinted>2020-08-31T02:56:23Z</cp:lastPrinted>
  <dcterms:created xsi:type="dcterms:W3CDTF">2020-07-29T06:35:44Z</dcterms:created>
  <dcterms:modified xsi:type="dcterms:W3CDTF">2020-08-31T07:05:19Z</dcterms:modified>
</cp:coreProperties>
</file>