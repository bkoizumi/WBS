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60600" windowWidth="28800" windowHeight="12270" activeTab="4"/>
  </bookViews>
  <sheets>
    <sheet name="Help" sheetId="6" r:id="rId1"/>
    <sheet name="Tmp" sheetId="9" r:id="rId2"/>
    <sheet name="Notice" sheetId="5" r:id="rId3"/>
    <sheet name="設定" sheetId="4" r:id="rId4"/>
    <sheet name="メイン" sheetId="2" r:id="rId5"/>
    <sheet name="WBS (サンプル)" sheetId="7" r:id="rId6"/>
    <sheet name="リソース" sheetId="11" state="veryHidden" r:id="rId7"/>
  </sheets>
  <functionGroups builtInGroupCount="18"/>
  <definedNames>
    <definedName name="baseDay">設定!$B$16</definedName>
    <definedName name="calendarEndCol">設定!$B$30</definedName>
    <definedName name="cell_AssignorList">設定!$B$7</definedName>
    <definedName name="cell_CompanyHoliday">設定!$B$8</definedName>
    <definedName name="cell_DataExtract">設定!$B$11</definedName>
    <definedName name="cell_HolidayListDay">設定!$B$9</definedName>
    <definedName name="cell_HolidayListName">設定!$B$10</definedName>
    <definedName name="cell_PlanStart">設定!$B$50</definedName>
    <definedName name="cell_ShortcutList">設定!$B$6</definedName>
    <definedName name="cell_TaskArea">設定!$B$29</definedName>
    <definedName name="CompanyHolidayColor">設定!$B$22</definedName>
    <definedName name="debugMode">設定!$B$3</definedName>
    <definedName name="endDay">設定!$B$15</definedName>
    <definedName name="ganttChartLineType">設定!$B$17</definedName>
    <definedName name="lineColor">設定!$B$19</definedName>
    <definedName name="lineColor_Achievement">設定!$B$24</definedName>
    <definedName name="lineColor_Lightning">設定!$B$25</definedName>
    <definedName name="lineColor_Plan">設定!$B$23</definedName>
    <definedName name="lineColor_TaskLevel1">設定!$B$26</definedName>
    <definedName name="lineColor_TaskLevel2">設定!$B$27</definedName>
    <definedName name="lineColor_TaskLevel3">設定!$B$28</definedName>
    <definedName name="lineColorFlg">設定!$B$13</definedName>
    <definedName name="SaturdayColor">設定!$B$20</definedName>
    <definedName name="setDispProgress100">設定!$B$18</definedName>
    <definedName name="setLightning">設定!$B$12</definedName>
    <definedName name="sheetRangeStartCell">設定!$B$5</definedName>
    <definedName name="startDay">設定!$B$14</definedName>
    <definedName name="SundayColor">設定!$B$21</definedName>
    <definedName name="view_Achievement">設定!$B$34</definedName>
    <definedName name="view_Assign">設定!$B$32</definedName>
    <definedName name="view_LateOrEarly">設定!$B$38</definedName>
    <definedName name="view_Note">設定!$B$39</definedName>
    <definedName name="view_Plan">設定!$B$31</definedName>
    <definedName name="view_Progress">設定!$B$33</definedName>
    <definedName name="view_Task">設定!$B$35</definedName>
    <definedName name="view_TaskInfo">設定!$B$36</definedName>
    <definedName name="view_WorkLoad">設定!$B$37</definedName>
    <definedName name="viewGant_Assignor">設定!$B$41</definedName>
    <definedName name="viewGant_TaskName">設定!$B$40</definedName>
    <definedName name="workMode">設定!$B$4</definedName>
    <definedName name="休日リスト">設定!$O$3:$O$4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4" l="1"/>
  <c r="A15" i="2" l="1"/>
  <c r="A14" i="2"/>
  <c r="A13" i="2"/>
  <c r="A12" i="2"/>
  <c r="A11" i="2"/>
  <c r="A10" i="2"/>
  <c r="A9" i="2"/>
  <c r="A8" i="2"/>
  <c r="A7" i="2"/>
  <c r="A6" i="2"/>
  <c r="B15" i="2"/>
  <c r="B11" i="2"/>
  <c r="B6" i="2"/>
  <c r="B10" i="2"/>
  <c r="B14" i="2"/>
  <c r="B13" i="2"/>
  <c r="B9" i="2"/>
  <c r="B12" i="2"/>
  <c r="B8" i="2"/>
  <c r="B7" i="2"/>
  <c r="O12" i="2" l="1"/>
  <c r="O11" i="2"/>
  <c r="O7" i="2"/>
  <c r="O6" i="2"/>
  <c r="O15" i="2"/>
  <c r="O14" i="2"/>
  <c r="O13" i="2"/>
  <c r="P10" i="2"/>
  <c r="O10" i="2"/>
  <c r="P9" i="2"/>
  <c r="O9" i="2"/>
  <c r="P8" i="2"/>
  <c r="O8" i="2"/>
  <c r="P12" i="2"/>
  <c r="P11" i="2"/>
  <c r="P7" i="2"/>
  <c r="P6" i="2"/>
  <c r="K15" i="2" l="1"/>
  <c r="K14" i="2"/>
  <c r="K13" i="2"/>
  <c r="K10" i="2"/>
  <c r="K9" i="2"/>
  <c r="K8" i="2"/>
  <c r="A11" i="11" l="1"/>
  <c r="A10" i="11"/>
  <c r="A9" i="11"/>
  <c r="A8" i="11"/>
  <c r="A7" i="11"/>
  <c r="A6" i="11"/>
  <c r="B27" i="7"/>
  <c r="B11" i="7"/>
  <c r="B19" i="7"/>
  <c r="B34" i="7"/>
  <c r="B12" i="7"/>
  <c r="B9" i="7"/>
  <c r="B25" i="7"/>
  <c r="B29" i="7"/>
  <c r="B24" i="7"/>
  <c r="B6" i="7"/>
  <c r="B26" i="7"/>
  <c r="B20" i="7"/>
  <c r="B31" i="7"/>
  <c r="B22" i="7"/>
  <c r="B36" i="7"/>
  <c r="B21" i="7"/>
  <c r="B30" i="7"/>
  <c r="B32" i="7"/>
  <c r="B14" i="7"/>
  <c r="B23" i="7"/>
  <c r="B16" i="7"/>
  <c r="B28" i="7"/>
  <c r="B15" i="7"/>
  <c r="B13" i="7"/>
  <c r="B8" i="7"/>
  <c r="B18" i="7"/>
  <c r="B35" i="7"/>
  <c r="B10" i="7"/>
  <c r="B7" i="7"/>
  <c r="B33" i="7"/>
  <c r="B17" i="7"/>
  <c r="M36" i="7" l="1"/>
  <c r="A36" i="7"/>
  <c r="M35" i="7"/>
  <c r="A35" i="7"/>
  <c r="M34" i="7"/>
  <c r="A34" i="7"/>
  <c r="M33" i="7"/>
  <c r="A33" i="7"/>
  <c r="N32" i="7"/>
  <c r="M32" i="7"/>
  <c r="A32" i="7"/>
  <c r="M31" i="7"/>
  <c r="A31" i="7"/>
  <c r="N30" i="7"/>
  <c r="M30" i="7"/>
  <c r="A30" i="7"/>
  <c r="M29" i="7"/>
  <c r="A29" i="7"/>
  <c r="M28" i="7"/>
  <c r="A28" i="7"/>
  <c r="M27" i="7"/>
  <c r="A27" i="7"/>
  <c r="N26" i="7"/>
  <c r="M26" i="7"/>
  <c r="A26" i="7"/>
  <c r="M25" i="7"/>
  <c r="A25" i="7"/>
  <c r="N24" i="7"/>
  <c r="M24" i="7"/>
  <c r="A24" i="7"/>
  <c r="N23" i="7"/>
  <c r="M23" i="7"/>
  <c r="A23" i="7"/>
  <c r="N22" i="7"/>
  <c r="M22" i="7"/>
  <c r="A22" i="7"/>
  <c r="M21" i="7"/>
  <c r="A21" i="7"/>
  <c r="N20" i="7"/>
  <c r="M20" i="7"/>
  <c r="A20" i="7"/>
  <c r="M19" i="7"/>
  <c r="A19" i="7"/>
  <c r="M18" i="7"/>
  <c r="A18" i="7"/>
  <c r="N17" i="7"/>
  <c r="M17" i="7"/>
  <c r="A17" i="7"/>
  <c r="M16" i="7"/>
  <c r="A16" i="7"/>
  <c r="M15" i="7"/>
  <c r="A15" i="7"/>
  <c r="M14" i="7"/>
  <c r="A14" i="7"/>
  <c r="M13" i="7"/>
  <c r="A13" i="7"/>
  <c r="N12" i="7"/>
  <c r="M12" i="7"/>
  <c r="A12" i="7"/>
  <c r="N11" i="7"/>
  <c r="M11" i="7"/>
  <c r="A11" i="7"/>
  <c r="M10" i="7"/>
  <c r="A10" i="7"/>
  <c r="M9" i="7"/>
  <c r="A9" i="7"/>
  <c r="M8" i="7"/>
  <c r="A8" i="7"/>
  <c r="N7" i="7"/>
  <c r="M7" i="7"/>
  <c r="A7" i="7"/>
  <c r="N6" i="7"/>
  <c r="M6" i="7"/>
  <c r="A6" i="7"/>
</calcChain>
</file>

<file path=xl/comments1.xml><?xml version="1.0" encoding="utf-8"?>
<comments xmlns="http://schemas.openxmlformats.org/spreadsheetml/2006/main">
  <authors>
    <author>Koizumi.Bunpei</author>
  </authors>
  <commentList>
    <comment ref="Q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M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N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O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</authors>
  <commentList>
    <comment ref="Q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M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N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</commentList>
</comments>
</file>

<file path=xl/sharedStrings.xml><?xml version="1.0" encoding="utf-8"?>
<sst xmlns="http://schemas.openxmlformats.org/spreadsheetml/2006/main" count="347" uniqueCount="244">
  <si>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</si>
  <si>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</si>
  <si>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</si>
  <si>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予定</t>
    <rPh sb="0" eb="2">
      <t>ヨテイ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</si>
  <si>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</si>
  <si>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</si>
  <si>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</si>
  <si>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</si>
  <si>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</si>
  <si>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</si>
  <si>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■ショートカットキー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</si>
  <si>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</si>
  <si>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</si>
  <si>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</si>
  <si>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</si>
  <si>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</si>
  <si>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</si>
  <si>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</si>
  <si>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</si>
  <si>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</si>
  <si>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</si>
  <si>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</si>
  <si>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</si>
  <si>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</si>
  <si>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</si>
  <si>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</si>
  <si>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</si>
  <si>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</si>
  <si>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</si>
  <si>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</si>
  <si>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</si>
  <si>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</si>
  <si>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</si>
  <si>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</si>
  <si>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</si>
  <si>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</si>
  <si>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</si>
  <si>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</si>
  <si>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</si>
  <si>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</si>
  <si>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</si>
  <si>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</si>
  <si>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</si>
  <si>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ganttChartLineType</t>
    <phoneticPr fontId="20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</si>
  <si>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</si>
  <si>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</si>
  <si>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</si>
  <si>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</si>
  <si>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</si>
  <si>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</si>
  <si>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</si>
  <si>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</si>
  <si>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</si>
  <si>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</si>
  <si>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</si>
  <si>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</si>
  <si>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</si>
  <si>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</si>
  <si>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</si>
  <si>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</si>
  <si>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</si>
  <si>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</si>
  <si>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Type2</t>
    <phoneticPr fontId="20"/>
  </si>
  <si>
    <t>レビュー</t>
  </si>
  <si>
    <t>コーディング</t>
  </si>
  <si>
    <t>PC</t>
  </si>
  <si>
    <t>スマホ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</si>
  <si>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</si>
  <si>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</si>
  <si>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</si>
  <si>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</si>
  <si>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</si>
  <si>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</si>
  <si>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</si>
  <si>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</si>
  <si>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</si>
  <si>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</si>
  <si>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</si>
  <si>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</si>
  <si>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</si>
  <si>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</si>
  <si>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</si>
  <si>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</si>
  <si>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</si>
  <si>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</si>
  <si>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</si>
  <si>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</si>
  <si>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</si>
  <si>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</si>
  <si>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iPhone</t>
    <phoneticPr fontId="9"/>
  </si>
  <si>
    <t>startDay</t>
    <phoneticPr fontId="20"/>
  </si>
  <si>
    <t>抽出タスク</t>
    <rPh sb="0" eb="2">
      <t>チュウ</t>
    </rPh>
    <phoneticPr fontId="20"/>
  </si>
  <si>
    <t>構成案作成</t>
  </si>
  <si>
    <t>構成案修正</t>
  </si>
  <si>
    <t>デザイン制作</t>
  </si>
  <si>
    <t>デザイン修正</t>
  </si>
  <si>
    <t>確認</t>
  </si>
  <si>
    <t>A</t>
  </si>
  <si>
    <t>B</t>
  </si>
  <si>
    <t>C</t>
  </si>
  <si>
    <t>制作</t>
  </si>
  <si>
    <t>素材提供</t>
  </si>
  <si>
    <t>修正</t>
  </si>
  <si>
    <t>htmlファイル制作</t>
  </si>
  <si>
    <t>テスト公開</t>
  </si>
  <si>
    <t>設置・導入</t>
  </si>
  <si>
    <t>動作確認</t>
  </si>
  <si>
    <t>Android</t>
  </si>
  <si>
    <t>最終確認</t>
  </si>
  <si>
    <t>本番導入</t>
  </si>
  <si>
    <t>コーディング</t>
    <phoneticPr fontId="9"/>
  </si>
  <si>
    <t>デザイン修正</t>
    <phoneticPr fontId="9"/>
  </si>
  <si>
    <t>秋分の日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</si>
  <si>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</si>
  <si>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</si>
  <si>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</si>
  <si>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</si>
  <si>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</si>
  <si>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</si>
  <si>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</si>
  <si>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</si>
  <si>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</si>
  <si>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</si>
  <si>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1-*．ショートカット</t>
  </si>
  <si>
    <t>タスク名称セルで機能します</t>
    <rPh sb="3" eb="5">
      <t>メイショウ</t>
    </rPh>
    <rPh sb="8" eb="10">
      <t>キノウ</t>
    </rPh>
    <phoneticPr fontId="22"/>
  </si>
  <si>
    <t>default</t>
  </si>
  <si>
    <t>cell_Note</t>
  </si>
  <si>
    <t>先行タスク</t>
    <phoneticPr fontId="22"/>
  </si>
  <si>
    <t>cell_Progress</t>
  </si>
  <si>
    <t>cell_Task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</si>
  <si>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</si>
  <si>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</si>
  <si>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</si>
  <si>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</si>
  <si>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</si>
  <si>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</si>
  <si>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</si>
  <si>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</si>
  <si>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</si>
  <si>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</si>
  <si>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</si>
  <si>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</si>
  <si>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S</t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</si>
  <si>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</si>
  <si>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</si>
  <si>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</si>
  <si>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</si>
  <si>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</si>
  <si>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</si>
  <si>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</si>
  <si>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</si>
  <si>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</si>
  <si>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</si>
  <si>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</si>
  <si>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</si>
  <si>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</si>
  <si>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</si>
  <si>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</si>
  <si>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</si>
  <si>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</si>
  <si>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</si>
  <si>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</si>
  <si>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</si>
  <si>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</si>
  <si>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</si>
  <si>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</si>
  <si>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</si>
  <si>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</si>
  <si>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</si>
  <si>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</si>
  <si>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</si>
  <si>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</si>
  <si>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</si>
  <si>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</si>
  <si>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</si>
  <si>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</si>
  <si>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</si>
  <si>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</si>
  <si>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</si>
  <si>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</si>
  <si>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</si>
  <si>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</si>
  <si>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</si>
  <si>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</si>
  <si>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</si>
  <si>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</si>
  <si>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</si>
  <si>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</si>
  <si>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</si>
  <si>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</si>
  <si>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E</t>
  </si>
  <si>
    <t>F</t>
  </si>
  <si>
    <t>G</t>
  </si>
  <si>
    <t>H</t>
  </si>
  <si>
    <t>I</t>
  </si>
  <si>
    <t>J</t>
  </si>
  <si>
    <t>K</t>
  </si>
  <si>
    <t>L</t>
  </si>
  <si>
    <t>M</t>
  </si>
  <si>
    <t>cell_TaskInfoC</t>
  </si>
  <si>
    <t>N</t>
  </si>
  <si>
    <t>cell_WorkLoadP</t>
  </si>
  <si>
    <t>O</t>
  </si>
  <si>
    <t>cell_WorkLoadA</t>
  </si>
  <si>
    <t>P</t>
  </si>
  <si>
    <t>cell_LateOrEarly</t>
  </si>
  <si>
    <t>Q</t>
  </si>
  <si>
    <t>R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</si>
  <si>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</si>
  <si>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</si>
  <si>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</si>
  <si>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</si>
  <si>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</si>
  <si>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7:15</t>
  </si>
  <si>
    <t>12:15</t>
  </si>
  <si>
    <t>13:15</t>
  </si>
  <si>
    <t>工程</t>
    <phoneticPr fontId="9"/>
  </si>
  <si>
    <t>AY</t>
    <phoneticPr fontId="20"/>
  </si>
  <si>
    <t>変</t>
  </si>
  <si>
    <t>viewGant_Assignor</t>
    <phoneticPr fontId="20"/>
  </si>
  <si>
    <t>変</t>
    <phoneticPr fontId="9"/>
  </si>
  <si>
    <t>タスク_A</t>
    <phoneticPr fontId="9"/>
  </si>
  <si>
    <t>タスク_B</t>
    <phoneticPr fontId="9"/>
  </si>
  <si>
    <t>タスク_C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</si>
  <si>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</si>
  <si>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</si>
  <si>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</si>
  <si>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</si>
  <si>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</si>
  <si>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</si>
  <si>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</si>
  <si>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変</t>
    <phoneticPr fontId="9"/>
  </si>
  <si>
    <t>viewGant_TaskName</t>
    <phoneticPr fontId="20"/>
  </si>
  <si>
    <t>cell_ShortcutList</t>
    <phoneticPr fontId="20"/>
  </si>
  <si>
    <t>G</t>
    <phoneticPr fontId="20"/>
  </si>
  <si>
    <t>sheetRangeStartCell</t>
    <phoneticPr fontId="20"/>
  </si>
  <si>
    <t>秋分の日</t>
    <phoneticPr fontId="20"/>
  </si>
  <si>
    <t>[TBD]De</t>
  </si>
  <si>
    <t>none</t>
  </si>
  <si>
    <t>休日リスト</t>
    <rPh sb="0" eb="2">
      <t>キュウ</t>
    </rPh>
    <phoneticPr fontId="20"/>
  </si>
  <si>
    <t>複数選択</t>
    <rPh sb="0" eb="4">
      <t>フクスウ</t>
    </rPh>
    <phoneticPr fontId="20"/>
  </si>
  <si>
    <t>会社指定休日</t>
    <rPh sb="0" eb="6">
      <t>カ</t>
    </rPh>
    <phoneticPr fontId="20"/>
  </si>
  <si>
    <t>要員B,要員A,要員D</t>
    <phoneticPr fontId="20"/>
  </si>
  <si>
    <t>cell_ProgressLast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</si>
</sst>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6" formatCode="&quot;¥&quot;#,##0;[Red]&quot;¥&quot;\-#,##0"/>
    <numFmt numFmtId="8" formatCode="&quot;¥&quot;#,##0.00;[Red]&quot;¥&quot;\-#,##0.00"/>
    <numFmt numFmtId="176" formatCode="&quot;¥&quot;#,##0_ ;[Red]&quot;¥&quot;\-#,##0\ "/>
    <numFmt numFmtId="177" formatCode="#,##0_ ;[Red]\-#,##0\ "/>
    <numFmt numFmtId="178" formatCode="m/d;@"/>
    <numFmt numFmtId="179" formatCode="yyyy/mm/dd"/>
    <numFmt numFmtId="180" formatCode="0_ ;[Red]\-0\ "/>
    <numFmt numFmtId="181" formatCode="m&quot;月&quot;"/>
    <numFmt numFmtId="182" formatCode="d"/>
    <numFmt numFmtId="183" formatCode="0.0%"/>
    <numFmt numFmtId="184" formatCode="0.00_ ;[Red]\-0.00\ "/>
    <numFmt numFmtId="185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83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0" borderId="0" applyNumberFormat="0" applyFont="0" applyAlignment="0" applyProtection="0">
      <alignment horizontal="center" vertical="center" wrapText="1"/>
    </xf>
  </cellStyleXfs>
  <cellXfs count="287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0" borderId="12" xfId="0" applyFont="1" applyFill="1" applyBorder="1" applyAlignment="1">
      <alignment horizontal="center" vertical="center"/>
      <protection locked="0"/>
    </xf>
    <xf numFmtId="49" fontId="19" fillId="40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1" borderId="0" xfId="0" applyFont="1" applyFill="1" applyBorder="1" applyAlignment="1">
      <alignment horizontal="left" vertical="center" indent="1"/>
      <protection locked="0"/>
    </xf>
    <xf numFmtId="0" fontId="28" fillId="41" borderId="0" xfId="0" applyFont="1" applyFill="1">
      <alignment vertical="center"/>
      <protection locked="0"/>
    </xf>
    <xf numFmtId="0" fontId="28" fillId="0" borderId="17" xfId="0" applyFont="1" applyFill="1" applyBorder="1" applyAlignment="1">
      <alignment horizontal="left" vertical="center" indent="1"/>
      <protection locked="0"/>
    </xf>
    <xf numFmtId="0" fontId="28" fillId="0" borderId="17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179" fontId="0" fillId="0" borderId="12" xfId="0" applyNumberFormat="1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39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13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78" fontId="0" fillId="43" borderId="11" xfId="0" applyNumberFormat="1" applyFill="1" applyBorder="1" applyAlignment="1" applyProtection="1">
      <alignment vertical="center"/>
    </xf>
    <xf numFmtId="178" fontId="0" fillId="40" borderId="10" xfId="0" applyNumberFormat="1" applyFill="1" applyBorder="1" applyAlignment="1" applyProtection="1">
      <alignment horizontal="centerContinuous" vertical="center"/>
    </xf>
    <xf numFmtId="178" fontId="0" fillId="0" borderId="13" xfId="0" applyNumberFormat="1" applyFill="1" applyBorder="1" applyAlignment="1" applyProtection="1">
      <alignment horizontal="center" vertical="center"/>
    </xf>
    <xf numFmtId="178" fontId="0" fillId="0" borderId="14" xfId="0" applyNumberFormat="1" applyFill="1" applyBorder="1" applyAlignment="1" applyProtection="1">
      <alignment horizontal="center" vertical="center"/>
    </xf>
    <xf numFmtId="178" fontId="0" fillId="0" borderId="0" xfId="0" applyNumberFormat="1" applyFill="1" applyAlignment="1" applyProtection="1">
      <alignment vertical="center"/>
    </xf>
    <xf numFmtId="180" fontId="0" fillId="0" borderId="0" xfId="0" applyNumberFormat="1" applyFill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1" fontId="0" fillId="0" borderId="0" xfId="0" applyNumberFormat="1" applyFill="1" applyAlignment="1" applyProtection="1">
      <alignment horizontal="center" vertical="center"/>
    </xf>
    <xf numFmtId="182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180" fontId="0" fillId="0" borderId="19" xfId="0" applyNumberFormat="1" applyFill="1" applyBorder="1" applyAlignment="1" applyProtection="1">
      <alignment horizontal="center" vertical="center"/>
    </xf>
    <xf numFmtId="178" fontId="0" fillId="0" borderId="19" xfId="0" applyNumberFormat="1" applyFill="1" applyBorder="1" applyAlignment="1" applyProtection="1">
      <alignment horizontal="center" vertical="center"/>
    </xf>
    <xf numFmtId="0" fontId="0" fillId="40" borderId="18" xfId="0" applyNumberFormat="1" applyFill="1" applyBorder="1" applyAlignment="1" applyProtection="1">
      <alignment horizontal="centerContinuous" vertical="center"/>
    </xf>
    <xf numFmtId="0" fontId="0" fillId="40" borderId="12" xfId="0" applyNumberFormat="1" applyFill="1" applyBorder="1" applyAlignment="1" applyProtection="1">
      <alignment horizontal="center" vertical="center"/>
    </xf>
    <xf numFmtId="0" fontId="0" fillId="42" borderId="11" xfId="0" applyNumberFormat="1" applyFill="1" applyBorder="1" applyAlignment="1" applyProtection="1">
      <alignment horizontal="center" vertical="center"/>
    </xf>
    <xf numFmtId="185" fontId="0" fillId="0" borderId="13" xfId="0" applyNumberFormat="1" applyFill="1" applyBorder="1" applyAlignment="1" applyProtection="1">
      <alignment horizontal="center" vertical="center" wrapText="1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0" borderId="14" xfId="0" applyNumberFormat="1" applyFill="1" applyBorder="1" applyAlignment="1" applyProtection="1">
      <alignment horizontal="center" vertical="center" shrinkToFit="1"/>
    </xf>
    <xf numFmtId="0" fontId="0" fillId="45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78" fontId="0" fillId="42" borderId="11" xfId="0" applyNumberFormat="1" applyFill="1" applyBorder="1" applyAlignment="1" applyProtection="1">
      <alignment horizontal="center" vertical="center"/>
    </xf>
    <xf numFmtId="185" fontId="0" fillId="45" borderId="11" xfId="0" applyNumberFormat="1" applyFill="1" applyBorder="1" applyAlignment="1" applyProtection="1">
      <alignment vertical="center"/>
    </xf>
    <xf numFmtId="185" fontId="0" fillId="40" borderId="10" xfId="0" applyNumberFormat="1" applyFill="1" applyBorder="1" applyAlignment="1" applyProtection="1">
      <alignment horizontal="centerContinuous" vertical="center"/>
    </xf>
    <xf numFmtId="185" fontId="0" fillId="42" borderId="11" xfId="0" applyNumberFormat="1" applyFill="1" applyBorder="1" applyAlignment="1" applyProtection="1">
      <alignment horizontal="center" vertical="center"/>
    </xf>
    <xf numFmtId="184" fontId="0" fillId="45" borderId="11" xfId="0" applyNumberFormat="1" applyFill="1" applyBorder="1" applyAlignment="1" applyProtection="1">
      <alignment vertical="center"/>
    </xf>
    <xf numFmtId="184" fontId="33" fillId="42" borderId="11" xfId="47" applyNumberFormat="1" applyFont="1" applyFill="1" applyBorder="1" applyAlignment="1" applyProtection="1">
      <alignment horizontal="center" vertical="center"/>
    </xf>
    <xf numFmtId="180" fontId="0" fillId="40" borderId="12" xfId="0" applyNumberFormat="1" applyFill="1" applyBorder="1" applyAlignment="1" applyProtection="1">
      <alignment horizontal="center" vertical="center"/>
    </xf>
    <xf numFmtId="180" fontId="33" fillId="42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78" fontId="0" fillId="40" borderId="12" xfId="0" applyNumberFormat="1" applyFill="1" applyBorder="1" applyAlignment="1" applyProtection="1">
      <alignment horizontal="center" vertical="center"/>
    </xf>
    <xf numFmtId="180" fontId="0" fillId="40" borderId="10" xfId="0" applyNumberFormat="1" applyFill="1" applyBorder="1" applyAlignment="1" applyProtection="1">
      <alignment horizontal="centerContinuous" vertical="center"/>
    </xf>
    <xf numFmtId="180" fontId="32" fillId="42" borderId="11" xfId="52" applyNumberFormat="1" applyFont="1" applyFill="1" applyBorder="1" applyAlignment="1" applyProtection="1">
      <alignment horizontal="center" vertical="center"/>
    </xf>
    <xf numFmtId="0" fontId="0" fillId="45" borderId="25" xfId="0" applyNumberFormat="1" applyFill="1" applyBorder="1" applyAlignment="1" applyProtection="1">
      <alignment vertical="center"/>
    </xf>
    <xf numFmtId="0" fontId="30" fillId="39" borderId="27" xfId="0" applyFont="1" applyFill="1" applyBorder="1" applyAlignment="1">
      <alignment horizontal="center" vertical="center" wrapText="1"/>
      <protection locked="0"/>
    </xf>
    <xf numFmtId="185" fontId="0" fillId="40" borderId="23" xfId="0" applyNumberFormat="1" applyFill="1" applyBorder="1" applyAlignment="1" applyProtection="1">
      <alignment horizontal="centerContinuous" vertical="center"/>
    </xf>
    <xf numFmtId="185" fontId="0" fillId="0" borderId="24" xfId="0" applyNumberFormat="1" applyFill="1" applyBorder="1" applyAlignment="1" applyProtection="1">
      <alignment horizontal="center" vertical="center" wrapText="1"/>
    </xf>
    <xf numFmtId="185" fontId="0" fillId="0" borderId="0" xfId="0" applyNumberFormat="1" applyFill="1" applyAlignment="1" applyProtection="1">
      <alignment vertical="center"/>
    </xf>
    <xf numFmtId="184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79" fontId="0" fillId="0" borderId="28" xfId="0" applyNumberFormat="1" applyBorder="1" applyAlignment="1">
      <alignment horizontal="center" vertical="center"/>
      <protection locked="0"/>
    </xf>
    <xf numFmtId="185" fontId="0" fillId="40" borderId="28" xfId="0" applyNumberFormat="1" applyFill="1" applyBorder="1" applyAlignment="1" applyProtection="1">
      <alignment horizontal="center" vertical="center"/>
    </xf>
    <xf numFmtId="0" fontId="0" fillId="0" borderId="17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39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23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23" xfId="0" applyFill="1" applyBorder="1" applyAlignment="1">
      <alignment vertical="center" wrapText="1"/>
      <protection locked="0"/>
    </xf>
    <xf numFmtId="0" fontId="30" fillId="39" borderId="11" xfId="0" applyFont="1" applyFill="1" applyBorder="1" applyAlignment="1">
      <alignment horizontal="center" vertical="center" wrapText="1"/>
      <protection locked="0"/>
    </xf>
    <xf numFmtId="0" fontId="30" fillId="39" borderId="10" xfId="0" applyFont="1" applyFill="1" applyBorder="1" applyAlignment="1">
      <alignment horizontal="centerContinuous" vertical="center"/>
      <protection locked="0"/>
    </xf>
    <xf numFmtId="0" fontId="30" fillId="39" borderId="11" xfId="0" applyFont="1" applyFill="1" applyBorder="1" applyAlignment="1">
      <alignment horizontal="centerContinuous" vertical="center"/>
      <protection locked="0"/>
    </xf>
    <xf numFmtId="0" fontId="30" fillId="39" borderId="23" xfId="0" applyFont="1" applyFill="1" applyBorder="1" applyAlignment="1">
      <alignment horizontal="centerContinuous" vertical="center"/>
      <protection locked="0"/>
    </xf>
    <xf numFmtId="182" fontId="0" fillId="52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182" fontId="0" fillId="51" borderId="29" xfId="0" applyNumberFormat="1" applyFill="1" applyBorder="1" applyAlignment="1" applyProtection="1">
      <alignment horizontal="center" vertical="center"/>
    </xf>
    <xf numFmtId="182" fontId="0" fillId="0" borderId="10" xfId="0" applyNumberFormat="1" applyFill="1" applyBorder="1" applyAlignment="1" applyProtection="1">
      <alignment horizontal="center" vertical="center"/>
    </xf>
    <xf numFmtId="0" fontId="0" fillId="45" borderId="10" xfId="0" applyNumberFormat="1" applyFill="1" applyBorder="1" applyAlignment="1" applyProtection="1">
      <alignment vertical="center"/>
    </xf>
    <xf numFmtId="178" fontId="0" fillId="45" borderId="11" xfId="0" applyNumberFormat="1" applyFill="1" applyBorder="1" applyAlignment="1" applyProtection="1">
      <alignment vertical="center"/>
    </xf>
    <xf numFmtId="180" fontId="0" fillId="45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0" fontId="0" fillId="45" borderId="11" xfId="0" applyNumberFormat="1" applyFill="1" applyBorder="1" applyAlignment="1" applyProtection="1">
      <alignment horizontal="center" vertical="center"/>
    </xf>
    <xf numFmtId="178" fontId="30" fillId="39" borderId="12" xfId="0" applyNumberFormat="1" applyFont="1" applyFill="1" applyBorder="1" applyAlignment="1">
      <alignment horizontal="center" vertical="center" wrapText="1"/>
      <protection locked="0"/>
    </xf>
    <xf numFmtId="178" fontId="0" fillId="0" borderId="12" xfId="0" applyNumberFormat="1" applyFill="1" applyBorder="1" applyAlignment="1">
      <alignment horizontal="left" vertical="center" wrapText="1"/>
      <protection locked="0"/>
    </xf>
    <xf numFmtId="178" fontId="0" fillId="0" borderId="12" xfId="0" applyNumberFormat="1" applyFill="1" applyBorder="1" applyAlignment="1" applyProtection="1">
      <alignment horizontal="center" vertical="center" wrapText="1"/>
      <protection locked="0"/>
    </xf>
    <xf numFmtId="178" fontId="0" fillId="0" borderId="0" xfId="0" applyNumberFormat="1">
      <alignment vertical="center"/>
      <protection locked="0"/>
    </xf>
    <xf numFmtId="180" fontId="0" fillId="0" borderId="0" xfId="0" applyNumberFormat="1">
      <alignment vertical="center"/>
      <protection locked="0"/>
    </xf>
    <xf numFmtId="185" fontId="0" fillId="0" borderId="0" xfId="0" applyNumberFormat="1" applyFill="1" applyAlignment="1">
      <alignment wrapText="1"/>
      <protection locked="0"/>
    </xf>
    <xf numFmtId="185" fontId="0" fillId="0" borderId="0" xfId="0" applyNumberFormat="1" applyAlignment="1">
      <protection locked="0"/>
    </xf>
    <xf numFmtId="185" fontId="30" fillId="39" borderId="12" xfId="0" applyNumberFormat="1" applyFont="1" applyFill="1" applyBorder="1" applyAlignment="1">
      <alignment horizontal="center" vertical="center" wrapText="1"/>
      <protection locked="0"/>
    </xf>
    <xf numFmtId="185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1" fontId="0" fillId="0" borderId="0" xfId="0" applyNumberFormat="1" applyAlignment="1">
      <alignment horizontal="center" vertical="center"/>
      <protection locked="0"/>
    </xf>
    <xf numFmtId="182" fontId="0" fillId="0" borderId="0" xfId="0" applyNumberFormat="1" applyAlignment="1">
      <alignment horizontal="center" vertical="center"/>
      <protection locked="0"/>
    </xf>
    <xf numFmtId="14" fontId="0" fillId="0" borderId="0" xfId="0" applyNumberFormat="1" applyFill="1" applyAlignment="1">
      <alignment wrapText="1"/>
      <protection locked="0"/>
    </xf>
    <xf numFmtId="14" fontId="0" fillId="0" borderId="0" xfId="0" applyNumberFormat="1">
      <alignment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0" borderId="24" xfId="0" applyNumberFormat="1" applyFill="1" applyBorder="1" applyAlignment="1" applyProtection="1">
      <alignment horizontal="left" vertical="center"/>
    </xf>
    <xf numFmtId="0" fontId="0" fillId="0" borderId="13" xfId="0" applyNumberFormat="1" applyFill="1" applyBorder="1" applyAlignment="1" applyProtection="1">
      <alignment horizontal="left" vertical="center" indent="1"/>
    </xf>
    <xf numFmtId="0" fontId="0" fillId="0" borderId="13" xfId="0" applyNumberFormat="1" applyFill="1" applyBorder="1" applyAlignment="1" applyProtection="1">
      <alignment horizontal="left" vertical="center" indent="2"/>
    </xf>
    <xf numFmtId="0" fontId="0" fillId="0" borderId="13" xfId="0" applyNumberFormat="1" applyFill="1" applyBorder="1" applyAlignment="1" applyProtection="1">
      <alignment horizontal="left" vertical="center" indent="3"/>
    </xf>
    <xf numFmtId="185" fontId="0" fillId="0" borderId="0" xfId="0" applyNumberFormat="1" applyFill="1" applyBorder="1" applyAlignment="1" applyProtection="1">
      <alignment horizontal="center" vertical="center" wrapText="1"/>
    </xf>
    <xf numFmtId="0" fontId="0" fillId="0" borderId="13" xfId="0" applyNumberFormat="1" applyFill="1" applyBorder="1" applyAlignment="1" applyProtection="1">
      <alignment horizontal="left" vertical="center" indent="4"/>
    </xf>
    <xf numFmtId="178" fontId="0" fillId="40" borderId="30" xfId="0" applyNumberFormat="1" applyFill="1" applyBorder="1" applyAlignment="1" applyProtection="1">
      <alignment horizontal="centerContinuous" vertical="center"/>
    </xf>
    <xf numFmtId="0" fontId="0" fillId="45" borderId="0" xfId="0" applyNumberFormat="1" applyFill="1" applyBorder="1" applyAlignment="1" applyProtection="1">
      <alignment vertical="center"/>
    </xf>
    <xf numFmtId="178" fontId="0" fillId="40" borderId="30" xfId="0" applyNumberFormat="1" applyFill="1" applyBorder="1" applyAlignment="1" applyProtection="1">
      <alignment horizontal="center" vertical="center"/>
    </xf>
    <xf numFmtId="180" fontId="0" fillId="40" borderId="30" xfId="0" applyNumberFormat="1" applyFill="1" applyBorder="1" applyAlignment="1" applyProtection="1">
      <alignment horizontal="centerContinuous" vertical="center"/>
    </xf>
    <xf numFmtId="182" fontId="0" fillId="0" borderId="32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left" vertical="center"/>
    </xf>
    <xf numFmtId="178" fontId="0" fillId="0" borderId="31" xfId="0" applyNumberFormat="1" applyFill="1" applyBorder="1" applyAlignment="1" applyProtection="1">
      <alignment horizontal="center" vertical="center"/>
    </xf>
    <xf numFmtId="180" fontId="0" fillId="0" borderId="31" xfId="0" applyNumberFormat="1" applyFill="1" applyBorder="1" applyAlignment="1" applyProtection="1">
      <alignment horizontal="center" vertical="center"/>
    </xf>
    <xf numFmtId="185" fontId="0" fillId="0" borderId="31" xfId="0" applyNumberFormat="1" applyFill="1" applyBorder="1" applyAlignment="1" applyProtection="1">
      <alignment horizontal="center" vertical="center" wrapText="1"/>
    </xf>
    <xf numFmtId="49" fontId="0" fillId="0" borderId="31" xfId="0" applyNumberFormat="1" applyFill="1" applyBorder="1" applyAlignment="1" applyProtection="1">
      <alignment horizontal="center" vertical="center" wrapText="1"/>
    </xf>
    <xf numFmtId="49" fontId="0" fillId="42" borderId="11" xfId="0" applyNumberFormat="1" applyFill="1" applyBorder="1" applyAlignment="1" applyProtection="1">
      <alignment horizontal="center" vertical="center"/>
    </xf>
    <xf numFmtId="49" fontId="0" fillId="45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78" fontId="0" fillId="40" borderId="10" xfId="0" applyNumberFormat="1" applyFont="1" applyFill="1" applyBorder="1" applyAlignment="1" applyProtection="1">
      <alignment horizontal="centerContinuous" vertical="center" shrinkToFit="1"/>
    </xf>
    <xf numFmtId="178" fontId="0" fillId="40" borderId="30" xfId="0" applyNumberFormat="1" applyFont="1" applyFill="1" applyBorder="1" applyAlignment="1" applyProtection="1">
      <alignment horizontal="centerContinuous" vertical="center" shrinkToFit="1"/>
    </xf>
    <xf numFmtId="180" fontId="0" fillId="40" borderId="10" xfId="0" applyNumberFormat="1" applyFont="1" applyFill="1" applyBorder="1" applyAlignment="1" applyProtection="1">
      <alignment horizontal="centerContinuous" vertical="center" shrinkToFit="1"/>
    </xf>
    <xf numFmtId="180" fontId="0" fillId="40" borderId="30" xfId="0" applyNumberFormat="1" applyFont="1" applyFill="1" applyBorder="1" applyAlignment="1" applyProtection="1">
      <alignment horizontal="centerContinuous" vertical="center" shrinkToFit="1"/>
    </xf>
    <xf numFmtId="185" fontId="0" fillId="40" borderId="10" xfId="0" applyNumberFormat="1" applyFont="1" applyFill="1" applyBorder="1" applyAlignment="1" applyProtection="1">
      <alignment horizontal="centerContinuous" vertical="center" shrinkToFit="1"/>
    </xf>
    <xf numFmtId="49" fontId="0" fillId="40" borderId="23" xfId="0" applyNumberFormat="1" applyFont="1" applyFill="1" applyBorder="1" applyAlignment="1" applyProtection="1">
      <alignment horizontal="centerContinuous" vertical="center" shrinkToFit="1"/>
    </xf>
    <xf numFmtId="185" fontId="0" fillId="40" borderId="23" xfId="0" applyNumberFormat="1" applyFont="1" applyFill="1" applyBorder="1" applyAlignment="1" applyProtection="1">
      <alignment horizontal="centerContinuous" vertical="center" shrinkToFit="1"/>
    </xf>
    <xf numFmtId="178" fontId="0" fillId="40" borderId="13" xfId="0" applyNumberFormat="1" applyFont="1" applyFill="1" applyBorder="1" applyAlignment="1" applyProtection="1">
      <alignment horizontal="center" vertical="center" shrinkToFit="1"/>
    </xf>
    <xf numFmtId="178" fontId="0" fillId="40" borderId="31" xfId="0" applyNumberFormat="1" applyFont="1" applyFill="1" applyBorder="1" applyAlignment="1" applyProtection="1">
      <alignment horizontal="center" vertical="center" shrinkToFit="1"/>
    </xf>
    <xf numFmtId="180" fontId="0" fillId="40" borderId="13" xfId="0" applyNumberFormat="1" applyFont="1" applyFill="1" applyBorder="1" applyAlignment="1" applyProtection="1">
      <alignment horizontal="center" vertical="center" shrinkToFit="1"/>
    </xf>
    <xf numFmtId="180" fontId="0" fillId="40" borderId="31" xfId="0" applyNumberFormat="1" applyFont="1" applyFill="1" applyBorder="1" applyAlignment="1" applyProtection="1">
      <alignment horizontal="center" vertical="center" shrinkToFit="1"/>
    </xf>
    <xf numFmtId="185" fontId="0" fillId="40" borderId="13" xfId="0" applyNumberFormat="1" applyFont="1" applyFill="1" applyBorder="1" applyAlignment="1" applyProtection="1">
      <alignment horizontal="center" vertical="center" shrinkToFit="1"/>
    </xf>
    <xf numFmtId="49" fontId="0" fillId="40" borderId="31" xfId="0" applyNumberFormat="1" applyFont="1" applyFill="1" applyBorder="1" applyAlignment="1" applyProtection="1">
      <alignment horizontal="center" vertical="center" shrinkToFit="1"/>
    </xf>
    <xf numFmtId="185" fontId="0" fillId="40" borderId="31" xfId="0" applyNumberFormat="1" applyFont="1" applyFill="1" applyBorder="1" applyAlignment="1" applyProtection="1">
      <alignment horizontal="center" vertical="center" shrinkToFit="1"/>
    </xf>
    <xf numFmtId="0" fontId="0" fillId="40" borderId="10" xfId="0" applyNumberFormat="1" applyFont="1" applyFill="1" applyBorder="1" applyAlignment="1" applyProtection="1">
      <alignment horizontal="centerContinuous" vertical="center" shrinkToFit="1"/>
    </xf>
    <xf numFmtId="0" fontId="0" fillId="40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0" fontId="0" fillId="40" borderId="28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9" xfId="0" applyNumberFormat="1" applyFill="1" applyBorder="1" applyAlignment="1" applyProtection="1">
      <alignment horizontal="center" vertical="center" wrapText="1"/>
    </xf>
    <xf numFmtId="185" fontId="0" fillId="0" borderId="29" xfId="0" applyNumberFormat="1" applyFill="1" applyBorder="1" applyAlignment="1" applyProtection="1">
      <alignment horizontal="center" vertical="center" wrapText="1"/>
    </xf>
    <xf numFmtId="184" fontId="0" fillId="0" borderId="29" xfId="0" applyNumberFormat="1" applyFill="1" applyBorder="1" applyAlignment="1" applyProtection="1">
      <alignment horizontal="center" vertical="center"/>
    </xf>
    <xf numFmtId="0" fontId="0" fillId="0" borderId="29" xfId="0" applyNumberFormat="1" applyFill="1" applyBorder="1" applyAlignment="1" applyProtection="1">
      <alignment vertical="center"/>
    </xf>
    <xf numFmtId="0" fontId="0" fillId="45" borderId="0" xfId="0" applyNumberFormat="1" applyFill="1" applyBorder="1" applyAlignment="1" applyProtection="1">
      <alignment horizontal="center" vertical="center"/>
    </xf>
    <xf numFmtId="49" fontId="0" fillId="45" borderId="0" xfId="0" applyNumberFormat="1" applyFill="1" applyBorder="1" applyAlignment="1" applyProtection="1">
      <alignment vertical="center"/>
    </xf>
    <xf numFmtId="185" fontId="0" fillId="45" borderId="0" xfId="0" applyNumberFormat="1" applyFill="1" applyBorder="1" applyAlignment="1" applyProtection="1">
      <alignment vertical="center"/>
    </xf>
    <xf numFmtId="184" fontId="0" fillId="45" borderId="0" xfId="0" applyNumberFormat="1" applyFill="1" applyBorder="1" applyAlignment="1" applyProtection="1">
      <alignment vertical="center"/>
    </xf>
    <xf numFmtId="0" fontId="0" fillId="45" borderId="34" xfId="0" applyNumberFormat="1" applyFill="1" applyBorder="1" applyAlignment="1" applyProtection="1">
      <alignment vertical="center"/>
    </xf>
    <xf numFmtId="178" fontId="0" fillId="40" borderId="28" xfId="0" applyNumberFormat="1" applyFont="1" applyFill="1" applyBorder="1" applyAlignment="1" applyProtection="1">
      <alignment horizontal="centerContinuous" vertical="center" shrinkToFit="1"/>
    </xf>
    <xf numFmtId="0" fontId="0" fillId="0" borderId="28" xfId="0" applyNumberFormat="1" applyFill="1" applyBorder="1" applyAlignment="1" applyProtection="1">
      <alignment horizontal="left" vertical="center" shrinkToFit="1"/>
    </xf>
    <xf numFmtId="49" fontId="0" fillId="40" borderId="28" xfId="0" applyNumberFormat="1" applyFont="1" applyFill="1" applyBorder="1" applyAlignment="1" applyProtection="1">
      <alignment horizontal="centerContinuous" vertical="center" shrinkToFit="1"/>
    </xf>
    <xf numFmtId="185" fontId="0" fillId="40" borderId="28" xfId="0" applyNumberFormat="1" applyFont="1" applyFill="1" applyBorder="1" applyAlignment="1" applyProtection="1">
      <alignment horizontal="centerContinuous" vertical="center" shrinkToFit="1"/>
    </xf>
    <xf numFmtId="0" fontId="0" fillId="0" borderId="28" xfId="0" applyNumberFormat="1" applyFill="1" applyBorder="1" applyAlignment="1" applyProtection="1">
      <alignment horizontal="left" vertical="center" indent="2" shrinkToFit="1"/>
    </xf>
    <xf numFmtId="0" fontId="0" fillId="0" borderId="28" xfId="0" applyNumberFormat="1" applyFill="1" applyBorder="1" applyAlignment="1" applyProtection="1">
      <alignment horizontal="left" vertical="center" indent="3" shrinkToFit="1"/>
    </xf>
    <xf numFmtId="0" fontId="31" fillId="42" borderId="10" xfId="0" applyNumberFormat="1" applyFont="1" applyFill="1" applyBorder="1" applyAlignment="1" applyProtection="1">
      <alignment vertical="center"/>
    </xf>
    <xf numFmtId="0" fontId="31" fillId="42" borderId="11" xfId="0" applyNumberFormat="1" applyFont="1" applyFill="1" applyBorder="1" applyAlignment="1" applyProtection="1">
      <alignment vertical="center"/>
    </xf>
    <xf numFmtId="0" fontId="0" fillId="0" borderId="21" xfId="0" applyNumberFormat="1" applyFill="1" applyBorder="1" applyAlignment="1" applyProtection="1">
      <alignment horizontal="center" vertical="center"/>
    </xf>
    <xf numFmtId="181" fontId="0" fillId="0" borderId="11" xfId="0" applyNumberFormat="1" applyFill="1" applyBorder="1" applyAlignment="1" applyProtection="1">
      <alignment horizontal="center" vertical="center"/>
    </xf>
    <xf numFmtId="0" fontId="0" fillId="40" borderId="12" xfId="0" applyNumberFormat="1" applyFont="1" applyFill="1" applyBorder="1" applyAlignment="1" applyProtection="1">
      <alignment horizontal="center" vertical="center" shrinkToFit="1"/>
    </xf>
    <xf numFmtId="182" fontId="0" fillId="0" borderId="35" xfId="0" applyNumberFormat="1" applyFill="1" applyBorder="1" applyAlignment="1" applyProtection="1">
      <alignment horizontal="center" vertical="center"/>
    </xf>
    <xf numFmtId="182" fontId="0" fillId="0" borderId="36" xfId="0" applyNumberFormat="1" applyFill="1" applyBorder="1" applyAlignment="1" applyProtection="1">
      <alignment horizontal="center" vertical="center"/>
    </xf>
    <xf numFmtId="182" fontId="0" fillId="51" borderId="36" xfId="0" applyNumberFormat="1" applyFill="1" applyBorder="1" applyAlignment="1" applyProtection="1">
      <alignment horizontal="center" vertical="center"/>
    </xf>
    <xf numFmtId="182" fontId="0" fillId="52" borderId="36" xfId="0" applyNumberFormat="1" applyFill="1" applyBorder="1" applyAlignment="1" applyProtection="1">
      <alignment horizontal="center" vertical="center"/>
    </xf>
    <xf numFmtId="182" fontId="0" fillId="0" borderId="15" xfId="0" applyNumberFormat="1" applyFill="1" applyBorder="1" applyAlignment="1" applyProtection="1">
      <alignment horizontal="center" vertical="center"/>
    </xf>
    <xf numFmtId="0" fontId="0" fillId="0" borderId="36" xfId="0" applyNumberFormat="1" applyFill="1" applyBorder="1" applyAlignment="1" applyProtection="1">
      <alignment vertical="center"/>
    </xf>
    <xf numFmtId="0" fontId="0" fillId="0" borderId="15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0" fontId="0" fillId="0" borderId="38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center" vertical="center"/>
    </xf>
    <xf numFmtId="0" fontId="0" fillId="0" borderId="21" xfId="0" applyNumberFormat="1" applyFill="1" applyBorder="1" applyAlignment="1" applyProtection="1">
      <alignment horizontal="left" vertical="center" indent="2" shrinkToFit="1"/>
    </xf>
    <xf numFmtId="178" fontId="0" fillId="0" borderId="42" xfId="0" applyNumberFormat="1" applyFill="1" applyBorder="1" applyAlignment="1" applyProtection="1">
      <alignment horizontal="center" vertical="center"/>
    </xf>
    <xf numFmtId="178" fontId="0" fillId="0" borderId="43" xfId="0" applyNumberFormat="1" applyFill="1" applyBorder="1" applyAlignment="1" applyProtection="1">
      <alignment horizontal="center" vertical="center"/>
    </xf>
    <xf numFmtId="180" fontId="0" fillId="0" borderId="42" xfId="0" applyNumberFormat="1" applyFill="1" applyBorder="1" applyAlignment="1" applyProtection="1">
      <alignment horizontal="center" vertical="center"/>
    </xf>
    <xf numFmtId="180" fontId="0" fillId="0" borderId="43" xfId="0" applyNumberFormat="1" applyFill="1" applyBorder="1" applyAlignment="1" applyProtection="1">
      <alignment horizontal="center" vertical="center"/>
    </xf>
    <xf numFmtId="0" fontId="0" fillId="0" borderId="16" xfId="0" applyNumberFormat="1" applyFill="1" applyBorder="1" applyAlignment="1" applyProtection="1">
      <alignment horizontal="left" vertical="center"/>
    </xf>
    <xf numFmtId="0" fontId="0" fillId="0" borderId="15" xfId="0" applyNumberFormat="1" applyFill="1" applyBorder="1" applyAlignment="1" applyProtection="1">
      <alignment horizontal="center" vertical="center" wrapText="1"/>
    </xf>
    <xf numFmtId="49" fontId="0" fillId="0" borderId="36" xfId="0" applyNumberFormat="1" applyFill="1" applyBorder="1" applyAlignment="1" applyProtection="1">
      <alignment horizontal="center" vertical="center" wrapText="1"/>
    </xf>
    <xf numFmtId="185" fontId="0" fillId="0" borderId="36" xfId="0" applyNumberFormat="1" applyFill="1" applyBorder="1" applyAlignment="1" applyProtection="1">
      <alignment horizontal="center" vertical="center" wrapText="1"/>
    </xf>
    <xf numFmtId="184" fontId="0" fillId="0" borderId="36" xfId="0" applyNumberFormat="1" applyFill="1" applyBorder="1" applyAlignment="1" applyProtection="1">
      <alignment horizontal="center" vertical="center"/>
    </xf>
    <xf numFmtId="0" fontId="0" fillId="0" borderId="38" xfId="0" applyNumberFormat="1" applyFill="1" applyBorder="1" applyAlignment="1" applyProtection="1">
      <alignment horizontal="left" vertical="center" indent="3" shrinkToFit="1"/>
    </xf>
    <xf numFmtId="178" fontId="0" fillId="0" borderId="44" xfId="0" applyNumberFormat="1" applyFill="1" applyBorder="1" applyAlignment="1" applyProtection="1">
      <alignment horizontal="center" vertical="center"/>
    </xf>
    <xf numFmtId="180" fontId="0" fillId="0" borderId="44" xfId="0" applyNumberFormat="1" applyFill="1" applyBorder="1" applyAlignment="1" applyProtection="1">
      <alignment horizontal="center" vertical="center"/>
    </xf>
    <xf numFmtId="0" fontId="0" fillId="0" borderId="45" xfId="0" applyNumberFormat="1" applyFill="1" applyBorder="1" applyAlignment="1" applyProtection="1">
      <alignment horizontal="left" vertical="center"/>
    </xf>
    <xf numFmtId="0" fontId="0" fillId="0" borderId="46" xfId="0" applyNumberFormat="1" applyFill="1" applyBorder="1" applyAlignment="1" applyProtection="1">
      <alignment horizontal="center" vertical="center" wrapText="1"/>
    </xf>
    <xf numFmtId="49" fontId="0" fillId="0" borderId="47" xfId="0" applyNumberFormat="1" applyFill="1" applyBorder="1" applyAlignment="1" applyProtection="1">
      <alignment horizontal="center" vertical="center" wrapText="1"/>
    </xf>
    <xf numFmtId="185" fontId="0" fillId="0" borderId="47" xfId="0" applyNumberFormat="1" applyFill="1" applyBorder="1" applyAlignment="1" applyProtection="1">
      <alignment horizontal="center" vertical="center" wrapText="1"/>
    </xf>
    <xf numFmtId="184" fontId="0" fillId="0" borderId="47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vertical="center"/>
    </xf>
    <xf numFmtId="182" fontId="0" fillId="0" borderId="48" xfId="0" applyNumberFormat="1" applyFill="1" applyBorder="1" applyAlignment="1" applyProtection="1">
      <alignment horizontal="center" vertical="center"/>
    </xf>
    <xf numFmtId="182" fontId="0" fillId="0" borderId="47" xfId="0" applyNumberFormat="1" applyFill="1" applyBorder="1" applyAlignment="1" applyProtection="1">
      <alignment horizontal="center" vertical="center"/>
    </xf>
    <xf numFmtId="182" fontId="0" fillId="51" borderId="47" xfId="0" applyNumberFormat="1" applyFill="1" applyBorder="1" applyAlignment="1" applyProtection="1">
      <alignment horizontal="center" vertical="center"/>
    </xf>
    <xf numFmtId="182" fontId="0" fillId="52" borderId="47" xfId="0" applyNumberFormat="1" applyFill="1" applyBorder="1" applyAlignment="1" applyProtection="1">
      <alignment horizontal="center" vertical="center"/>
    </xf>
    <xf numFmtId="182" fontId="0" fillId="0" borderId="46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 indent="2" shrinkToFit="1"/>
    </xf>
    <xf numFmtId="178" fontId="0" fillId="0" borderId="50" xfId="0" applyNumberFormat="1" applyFill="1" applyBorder="1" applyAlignment="1" applyProtection="1">
      <alignment horizontal="center" vertical="center"/>
    </xf>
    <xf numFmtId="180" fontId="0" fillId="0" borderId="50" xfId="0" applyNumberFormat="1" applyFill="1" applyBorder="1" applyAlignment="1" applyProtection="1">
      <alignment horizontal="center" vertical="center"/>
    </xf>
    <xf numFmtId="0" fontId="0" fillId="0" borderId="51" xfId="0" applyNumberFormat="1" applyFill="1" applyBorder="1" applyAlignment="1" applyProtection="1">
      <alignment horizontal="left" vertical="center"/>
    </xf>
    <xf numFmtId="0" fontId="0" fillId="0" borderId="52" xfId="0" applyNumberFormat="1" applyFill="1" applyBorder="1" applyAlignment="1" applyProtection="1">
      <alignment horizontal="center" vertical="center" wrapText="1"/>
    </xf>
    <xf numFmtId="49" fontId="0" fillId="0" borderId="53" xfId="0" applyNumberFormat="1" applyFill="1" applyBorder="1" applyAlignment="1" applyProtection="1">
      <alignment horizontal="center" vertical="center" wrapText="1"/>
    </xf>
    <xf numFmtId="185" fontId="0" fillId="0" borderId="53" xfId="0" applyNumberFormat="1" applyFill="1" applyBorder="1" applyAlignment="1" applyProtection="1">
      <alignment horizontal="center" vertical="center" wrapText="1"/>
    </xf>
    <xf numFmtId="184" fontId="0" fillId="0" borderId="53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vertical="center"/>
    </xf>
    <xf numFmtId="182" fontId="0" fillId="0" borderId="54" xfId="0" applyNumberFormat="1" applyFill="1" applyBorder="1" applyAlignment="1" applyProtection="1">
      <alignment horizontal="center" vertical="center"/>
    </xf>
    <xf numFmtId="182" fontId="0" fillId="0" borderId="53" xfId="0" applyNumberFormat="1" applyFill="1" applyBorder="1" applyAlignment="1" applyProtection="1">
      <alignment horizontal="center" vertical="center"/>
    </xf>
    <xf numFmtId="182" fontId="0" fillId="51" borderId="53" xfId="0" applyNumberFormat="1" applyFill="1" applyBorder="1" applyAlignment="1" applyProtection="1">
      <alignment horizontal="center" vertical="center"/>
    </xf>
    <xf numFmtId="182" fontId="0" fillId="52" borderId="53" xfId="0" applyNumberFormat="1" applyFill="1" applyBorder="1" applyAlignment="1" applyProtection="1">
      <alignment horizontal="center" vertical="center"/>
    </xf>
    <xf numFmtId="182" fontId="0" fillId="0" borderId="52" xfId="0" applyNumberFormat="1" applyFill="1" applyBorder="1" applyAlignment="1" applyProtection="1">
      <alignment horizontal="center" vertical="center"/>
    </xf>
    <xf numFmtId="182" fontId="0" fillId="51" borderId="56" xfId="0" applyNumberFormat="1" applyFill="1" applyBorder="1" applyAlignment="1" applyProtection="1">
      <alignment horizontal="center" vertical="center"/>
    </xf>
    <xf numFmtId="182" fontId="0" fillId="51" borderId="58" xfId="0" applyNumberFormat="1" applyFill="1" applyBorder="1" applyAlignment="1" applyProtection="1">
      <alignment horizontal="center" vertical="center"/>
    </xf>
    <xf numFmtId="178" fontId="0" fillId="0" borderId="37" xfId="0" applyNumberFormat="1" applyFill="1" applyBorder="1" applyAlignment="1" applyProtection="1">
      <alignment horizontal="center" vertical="center"/>
    </xf>
    <xf numFmtId="180" fontId="0" fillId="0" borderId="37" xfId="0" applyNumberFormat="1" applyFill="1" applyBorder="1" applyAlignment="1" applyProtection="1">
      <alignment horizontal="center" vertical="center"/>
    </xf>
    <xf numFmtId="178" fontId="0" fillId="0" borderId="49" xfId="0" applyNumberFormat="1" applyFill="1" applyBorder="1" applyAlignment="1" applyProtection="1">
      <alignment horizontal="center" vertical="center"/>
    </xf>
    <xf numFmtId="180" fontId="0" fillId="0" borderId="49" xfId="0" applyNumberFormat="1" applyFill="1" applyBorder="1" applyAlignment="1" applyProtection="1">
      <alignment horizontal="center" vertical="center"/>
    </xf>
    <xf numFmtId="182" fontId="0" fillId="51" borderId="59" xfId="0" applyNumberFormat="1" applyFill="1" applyBorder="1" applyAlignment="1" applyProtection="1">
      <alignment horizontal="center" vertical="center"/>
    </xf>
    <xf numFmtId="178" fontId="0" fillId="0" borderId="55" xfId="0" applyNumberFormat="1" applyFill="1" applyBorder="1" applyAlignment="1" applyProtection="1">
      <alignment horizontal="center" vertical="center"/>
    </xf>
    <xf numFmtId="180" fontId="0" fillId="0" borderId="55" xfId="0" applyNumberFormat="1" applyFill="1" applyBorder="1" applyAlignment="1" applyProtection="1">
      <alignment horizontal="center" vertical="center"/>
    </xf>
    <xf numFmtId="182" fontId="0" fillId="51" borderId="60" xfId="0" applyNumberFormat="1" applyFill="1" applyBorder="1" applyAlignment="1" applyProtection="1">
      <alignment horizontal="center" vertical="center"/>
    </xf>
    <xf numFmtId="0" fontId="0" fillId="0" borderId="28" xfId="0" applyBorder="1">
      <alignment vertical="center"/>
      <protection locked="0"/>
    </xf>
    <xf numFmtId="0" fontId="0" fillId="0" borderId="28" xfId="0" applyBorder="1" applyAlignment="1">
      <alignment horizontal="center" vertical="center"/>
      <protection locked="0"/>
    </xf>
    <xf numFmtId="0" fontId="0" fillId="0" borderId="28" xfId="0" applyNumberFormat="1" applyFill="1" applyBorder="1" applyAlignment="1" applyProtection="1">
      <alignment vertical="center"/>
    </xf>
    <xf numFmtId="0" fontId="0" fillId="0" borderId="28" xfId="0" applyNumberFormat="1" applyFill="1" applyBorder="1" applyAlignment="1" applyProtection="1">
      <alignment horizontal="center" vertical="center" shrinkToFit="1"/>
    </xf>
    <xf numFmtId="180" fontId="0" fillId="42" borderId="11" xfId="0" applyNumberFormat="1" applyFill="1" applyBorder="1" applyAlignment="1" applyProtection="1">
      <alignment horizontal="center" vertical="center"/>
    </xf>
    <xf numFmtId="184" fontId="0" fillId="42" borderId="11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left" vertical="center" indent="1"/>
    </xf>
    <xf numFmtId="0" fontId="0" fillId="0" borderId="28" xfId="0" applyNumberFormat="1" applyFill="1" applyBorder="1" applyAlignment="1" applyProtection="1">
      <alignment horizontal="left" vertical="center" indent="2"/>
    </xf>
    <xf numFmtId="0" fontId="0" fillId="0" borderId="28" xfId="0" applyNumberFormat="1" applyFill="1" applyBorder="1" applyAlignment="1" applyProtection="1">
      <alignment horizontal="left" vertical="center" indent="3"/>
    </xf>
    <xf numFmtId="0" fontId="0" fillId="40" borderId="18" xfId="0" applyNumberFormat="1" applyFont="1" applyFill="1" applyBorder="1" applyAlignment="1" applyProtection="1">
      <alignment horizontal="center" vertical="center" shrinkToFit="1"/>
    </xf>
    <xf numFmtId="0" fontId="0" fillId="53" borderId="12" xfId="0" applyFill="1" applyBorder="1">
      <alignment vertical="center"/>
      <protection locked="0"/>
    </xf>
    <xf numFmtId="0" fontId="0" fillId="53" borderId="12" xfId="0" applyFill="1" applyBorder="1" applyAlignment="1">
      <alignment horizontal="center" vertical="center"/>
      <protection locked="0"/>
    </xf>
    <xf numFmtId="181" fontId="0" fillId="0" borderId="11" xfId="0" applyNumberFormat="1" applyFill="1" applyBorder="1" applyAlignment="1" applyProtection="1">
      <alignment horizontal="center" vertical="center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6" xfId="0" applyFill="1" applyBorder="1" applyAlignment="1">
      <alignment wrapText="1"/>
      <protection locked="0"/>
    </xf>
    <xf numFmtId="14" fontId="30" fillId="39" borderId="10" xfId="0" applyNumberFormat="1" applyFont="1" applyFill="1" applyBorder="1" applyAlignment="1">
      <alignment horizontal="center" vertical="center"/>
      <protection locked="0"/>
    </xf>
    <xf numFmtId="14" fontId="30" fillId="39" borderId="22" xfId="0" applyNumberFormat="1" applyFont="1" applyFill="1" applyBorder="1" applyAlignment="1">
      <alignment horizontal="center" vertical="center"/>
      <protection locked="0"/>
    </xf>
    <xf numFmtId="181" fontId="0" fillId="0" borderId="32" xfId="0" applyNumberFormat="1" applyFill="1" applyBorder="1" applyAlignment="1" applyProtection="1">
      <alignment horizontal="center" vertical="center"/>
    </xf>
    <xf numFmtId="181" fontId="0" fillId="0" borderId="11" xfId="0" applyNumberFormat="1" applyFill="1" applyBorder="1" applyAlignment="1" applyProtection="1">
      <alignment horizontal="center" vertical="center"/>
    </xf>
    <xf numFmtId="181" fontId="0" fillId="0" borderId="10" xfId="0" applyNumberFormat="1" applyFill="1" applyBorder="1" applyAlignment="1" applyProtection="1">
      <alignment horizontal="center" vertical="center"/>
    </xf>
    <xf numFmtId="181" fontId="0" fillId="0" borderId="57" xfId="0" applyNumberFormat="1" applyFill="1" applyBorder="1" applyAlignment="1" applyProtection="1">
      <alignment horizontal="center" vertical="center"/>
    </xf>
    <xf numFmtId="0" fontId="31" fillId="42" borderId="28" xfId="0" applyNumberFormat="1" applyFont="1" applyFill="1" applyBorder="1" applyAlignment="1" applyProtection="1">
      <alignment horizontal="center" vertical="center"/>
    </xf>
    <xf numFmtId="0" fontId="31" fillId="42" borderId="11" xfId="0" applyNumberFormat="1" applyFont="1" applyFill="1" applyBorder="1" applyAlignment="1" applyProtection="1">
      <alignment horizontal="center" vertical="center"/>
    </xf>
    <xf numFmtId="184" fontId="0" fillId="40" borderId="20" xfId="0" applyNumberFormat="1" applyFont="1" applyFill="1" applyBorder="1" applyAlignment="1" applyProtection="1">
      <alignment horizontal="center" vertical="center" shrinkToFit="1"/>
    </xf>
    <xf numFmtId="184" fontId="0" fillId="40" borderId="21" xfId="0" applyNumberFormat="1" applyFont="1" applyFill="1" applyBorder="1" applyAlignment="1" applyProtection="1">
      <alignment horizontal="center" vertical="center" shrinkToFit="1"/>
    </xf>
    <xf numFmtId="0" fontId="0" fillId="40" borderId="26" xfId="0" applyNumberFormat="1" applyFont="1" applyFill="1" applyBorder="1" applyAlignment="1" applyProtection="1">
      <alignment horizontal="center" vertical="center" shrinkToFit="1"/>
    </xf>
    <xf numFmtId="0" fontId="0" fillId="40" borderId="15" xfId="0" applyNumberFormat="1" applyFont="1" applyFill="1" applyBorder="1" applyAlignment="1" applyProtection="1">
      <alignment horizontal="center" vertical="center" shrinkToFit="1"/>
    </xf>
    <xf numFmtId="0" fontId="0" fillId="40" borderId="12" xfId="0" applyNumberFormat="1" applyFont="1" applyFill="1" applyBorder="1" applyAlignment="1" applyProtection="1">
      <alignment horizontal="center" vertical="center" shrinkToFit="1"/>
    </xf>
    <xf numFmtId="0" fontId="0" fillId="40" borderId="28" xfId="0" applyNumberFormat="1" applyFont="1" applyFill="1" applyBorder="1" applyAlignment="1" applyProtection="1">
      <alignment horizontal="center" vertical="center" shrinkToFit="1"/>
    </xf>
    <xf numFmtId="0" fontId="0" fillId="40" borderId="10" xfId="0" applyNumberFormat="1" applyFont="1" applyFill="1" applyBorder="1" applyAlignment="1" applyProtection="1">
      <alignment horizontal="center" vertical="center" shrinkToFit="1"/>
    </xf>
    <xf numFmtId="184" fontId="0" fillId="40" borderId="20" xfId="0" applyNumberFormat="1" applyFill="1" applyBorder="1" applyAlignment="1" applyProtection="1">
      <alignment horizontal="center" vertical="center"/>
    </xf>
    <xf numFmtId="184" fontId="0" fillId="40" borderId="21" xfId="0" applyNumberFormat="1" applyFill="1" applyBorder="1" applyAlignment="1" applyProtection="1">
      <alignment horizontal="center" vertical="center"/>
    </xf>
    <xf numFmtId="0" fontId="0" fillId="40" borderId="26" xfId="0" applyNumberFormat="1" applyFill="1" applyBorder="1" applyAlignment="1" applyProtection="1">
      <alignment horizontal="center" vertical="center"/>
    </xf>
    <xf numFmtId="0" fontId="0" fillId="40" borderId="15" xfId="0" applyNumberFormat="1" applyFill="1" applyBorder="1" applyAlignment="1" applyProtection="1">
      <alignment horizontal="center" vertical="center"/>
    </xf>
    <xf numFmtId="0" fontId="0" fillId="40" borderId="28" xfId="0" applyNumberFormat="1" applyFill="1" applyBorder="1" applyAlignment="1" applyProtection="1">
      <alignment horizontal="center" vertical="center" wrapText="1"/>
    </xf>
    <xf numFmtId="0" fontId="0" fillId="40" borderId="12" xfId="0" applyNumberFormat="1" applyFill="1" applyBorder="1" applyAlignment="1" applyProtection="1">
      <alignment horizontal="center" vertical="center" wrapText="1"/>
    </xf>
    <xf numFmtId="0" fontId="19" fillId="40" borderId="10" xfId="0" applyNumberFormat="1" applyFont="1" applyFill="1" applyBorder="1" applyAlignment="1" applyProtection="1">
      <alignment horizontal="center" vertical="center" wrapText="1"/>
    </xf>
    <xf numFmtId="0" fontId="0" fillId="0" borderId="2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horizontal="center" vertical="center"/>
    </xf>
    <xf numFmtId="0" fontId="0" fillId="0" borderId="39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center" vertical="center"/>
    </xf>
    <xf numFmtId="0" fontId="0" fillId="40" borderId="31" xfId="0" applyNumberFormat="1" applyFont="1" applyFill="1" applyBorder="1" applyAlignment="1" applyProtection="1">
      <alignment horizontal="center" vertical="center" shrinkToFit="1"/>
    </xf>
    <xf numFmtId="0" fontId="0" fillId="40" borderId="20" xfId="0" applyNumberFormat="1" applyFont="1" applyFill="1" applyBorder="1" applyAlignment="1" applyProtection="1">
      <alignment horizontal="center" vertical="center" shrinkToFit="1"/>
    </xf>
    <xf numFmtId="184" fontId="0" fillId="40" borderId="28" xfId="0" applyNumberFormat="1" applyFont="1" applyFill="1" applyBorder="1" applyAlignment="1" applyProtection="1">
      <alignment horizontal="center" vertical="center" shrinkToFit="1"/>
    </xf>
    <xf numFmtId="0" fontId="0" fillId="40" borderId="34" xfId="0" applyNumberFormat="1" applyFont="1" applyFill="1" applyBorder="1" applyAlignment="1" applyProtection="1">
      <alignment horizontal="center" vertical="center" shrinkToFit="1"/>
    </xf>
    <xf numFmtId="0" fontId="0" fillId="40" borderId="11" xfId="0" applyNumberFormat="1" applyFont="1" applyFill="1" applyBorder="1" applyAlignment="1" applyProtection="1">
      <alignment horizontal="center" vertical="center" shrinkToFit="1"/>
    </xf>
    <xf numFmtId="181" fontId="0" fillId="0" borderId="61" xfId="0" applyNumberFormat="1" applyFill="1" applyBorder="1" applyAlignment="1" applyProtection="1">
      <alignment horizontal="center" vertical="center"/>
    </xf>
    <xf numFmtId="182" fontId="0" fillId="51" borderId="62" xfId="0" applyNumberFormat="1" applyFill="1" applyBorder="1" applyAlignment="1" applyProtection="1">
      <alignment horizontal="center" vertical="center"/>
    </xf>
    <xf numFmtId="0" fontId="0" fillId="0" borderId="63" xfId="0" applyBorder="1">
      <alignment vertical="center"/>
      <protection locked="0"/>
    </xf>
    <xf numFmtId="0" fontId="0" fillId="33" borderId="64" xfId="0" applyFill="1" applyBorder="1">
      <alignment vertical="center"/>
      <protection locked="0"/>
    </xf>
    <xf numFmtId="0" fontId="0" fillId="46" borderId="64" xfId="0" applyFill="1" applyBorder="1">
      <alignment vertical="center"/>
      <protection locked="0"/>
    </xf>
    <xf numFmtId="0" fontId="0" fillId="47" borderId="64" xfId="0" applyFill="1" applyBorder="1">
      <alignment vertical="center"/>
      <protection locked="0"/>
    </xf>
    <xf numFmtId="0" fontId="0" fillId="48" borderId="64" xfId="0" applyFill="1" applyBorder="1">
      <alignment vertical="center"/>
      <protection locked="0"/>
    </xf>
    <xf numFmtId="0" fontId="0" fillId="49" borderId="64" xfId="0" applyFill="1" applyBorder="1">
      <alignment vertical="center"/>
      <protection locked="0"/>
    </xf>
    <xf numFmtId="0" fontId="0" fillId="34" borderId="64" xfId="0" applyFill="1" applyBorder="1">
      <alignment vertical="center"/>
      <protection locked="0"/>
    </xf>
    <xf numFmtId="0" fontId="0" fillId="35" borderId="64" xfId="0" applyFill="1" applyBorder="1">
      <alignment vertical="center"/>
      <protection locked="0"/>
    </xf>
    <xf numFmtId="0" fontId="0" fillId="38" borderId="64" xfId="0" applyFill="1" applyBorder="1">
      <alignment vertical="center"/>
      <protection locked="0"/>
    </xf>
    <xf numFmtId="0" fontId="0" fillId="44" borderId="64" xfId="0" applyFill="1" applyBorder="1">
      <alignment vertical="center"/>
      <protection locked="0"/>
    </xf>
    <xf numFmtId="0" fontId="0" fillId="36" borderId="64" xfId="0" applyFill="1" applyBorder="1">
      <alignment vertical="center"/>
      <protection locked="0"/>
    </xf>
    <xf numFmtId="0" fontId="0" fillId="37" borderId="64" xfId="0" applyFill="1" applyBorder="1">
      <alignment vertical="center"/>
      <protection locked="0"/>
    </xf>
    <xf numFmtId="0" fontId="0" fillId="0" borderId="65" xfId="0" applyBorder="1">
      <alignment vertical="center"/>
      <protection locked="0"/>
    </xf>
    <xf numFmtId="0" fontId="0" fillId="54" borderId="64" xfId="0" applyFill="1" applyBorder="1">
      <alignment vertical="center"/>
      <protection locked="0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DDDDDD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  <color rgb="FFFF0000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63500</xdr:rowOff>
    </xdr:from>
    <xdr:to>
      <xdr:col>21</xdr:col>
      <xdr:colOff>0</xdr:colOff>
      <xdr:row>5</xdr:row>
      <xdr:rowOff>190500</xdr:rowOff>
    </xdr:to>
    <xdr:sp macro="beforeChangeShapes" textlink="">
      <xdr:nvSpPr>
        <xdr:cNvPr id="274" name="タスク_6"/>
        <xdr:cNvSpPr/>
      </xdr:nvSpPr>
      <xdr:spPr>
        <a:xfrm>
          <a:off x="15030450" y="1492250"/>
          <a:ext cx="714375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5</xdr:row>
      <xdr:rowOff>0</xdr:rowOff>
    </xdr:from>
    <xdr:to>
      <xdr:col>22</xdr:col>
      <xdr:colOff>0</xdr:colOff>
      <xdr:row>6</xdr:row>
      <xdr:rowOff>0</xdr:rowOff>
    </xdr:to>
    <xdr:cxnSp macro="">
      <xdr:nvCxnSpPr>
        <xdr:cNvPr id="275" name="直線コネクタ 274"/>
        <xdr:cNvCxnSpPr/>
      </xdr:nvCxnSpPr>
      <xdr:spPr>
        <a:xfrm>
          <a:off x="15982950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6</xdr:row>
      <xdr:rowOff>63500</xdr:rowOff>
    </xdr:from>
    <xdr:to>
      <xdr:col>33</xdr:col>
      <xdr:colOff>0</xdr:colOff>
      <xdr:row>6</xdr:row>
      <xdr:rowOff>190500</xdr:rowOff>
    </xdr:to>
    <xdr:sp macro="beforeChangeShapes" textlink="">
      <xdr:nvSpPr>
        <xdr:cNvPr id="276" name="タスク_7"/>
        <xdr:cNvSpPr/>
      </xdr:nvSpPr>
      <xdr:spPr>
        <a:xfrm>
          <a:off x="18126075" y="1739900"/>
          <a:ext cx="4762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6</xdr:row>
      <xdr:rowOff>0</xdr:rowOff>
    </xdr:from>
    <xdr:to>
      <xdr:col>22</xdr:col>
      <xdr:colOff>0</xdr:colOff>
      <xdr:row>7</xdr:row>
      <xdr:rowOff>0</xdr:rowOff>
    </xdr:to>
    <xdr:cxnSp macro="">
      <xdr:nvCxnSpPr>
        <xdr:cNvPr id="277" name="直線コネクタ 276"/>
        <xdr:cNvCxnSpPr/>
      </xdr:nvCxnSpPr>
      <xdr:spPr>
        <a:xfrm>
          <a:off x="15982950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7</xdr:row>
      <xdr:rowOff>63500</xdr:rowOff>
    </xdr:from>
    <xdr:to>
      <xdr:col>41</xdr:col>
      <xdr:colOff>0</xdr:colOff>
      <xdr:row>7</xdr:row>
      <xdr:rowOff>190500</xdr:rowOff>
    </xdr:to>
    <xdr:sp macro="beforeChangeShapes" textlink="">
      <xdr:nvSpPr>
        <xdr:cNvPr id="278" name="タスク_8"/>
        <xdr:cNvSpPr/>
      </xdr:nvSpPr>
      <xdr:spPr>
        <a:xfrm>
          <a:off x="19078575" y="1987550"/>
          <a:ext cx="14287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C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7</xdr:row>
      <xdr:rowOff>0</xdr:rowOff>
    </xdr:from>
    <xdr:to>
      <xdr:col>22</xdr:col>
      <xdr:colOff>0</xdr:colOff>
      <xdr:row>8</xdr:row>
      <xdr:rowOff>0</xdr:rowOff>
    </xdr:to>
    <xdr:cxnSp macro="">
      <xdr:nvCxnSpPr>
        <xdr:cNvPr id="279" name="直線コネクタ 278"/>
        <xdr:cNvCxnSpPr/>
      </xdr:nvCxnSpPr>
      <xdr:spPr>
        <a:xfrm>
          <a:off x="15982950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8</xdr:row>
      <xdr:rowOff>63500</xdr:rowOff>
    </xdr:from>
    <xdr:to>
      <xdr:col>25</xdr:col>
      <xdr:colOff>0</xdr:colOff>
      <xdr:row>8</xdr:row>
      <xdr:rowOff>190500</xdr:rowOff>
    </xdr:to>
    <xdr:sp macro="beforeChangeShapes" textlink="">
      <xdr:nvSpPr>
        <xdr:cNvPr id="280" name="タスク_9"/>
        <xdr:cNvSpPr/>
      </xdr:nvSpPr>
      <xdr:spPr>
        <a:xfrm>
          <a:off x="15744825" y="2235200"/>
          <a:ext cx="95250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B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8</xdr:row>
      <xdr:rowOff>0</xdr:rowOff>
    </xdr:from>
    <xdr:to>
      <xdr:col>22</xdr:col>
      <xdr:colOff>0</xdr:colOff>
      <xdr:row>9</xdr:row>
      <xdr:rowOff>0</xdr:rowOff>
    </xdr:to>
    <xdr:cxnSp macro="">
      <xdr:nvCxnSpPr>
        <xdr:cNvPr id="281" name="直線コネクタ 280"/>
        <xdr:cNvCxnSpPr/>
      </xdr:nvCxnSpPr>
      <xdr:spPr>
        <a:xfrm>
          <a:off x="15982950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9</xdr:row>
      <xdr:rowOff>63500</xdr:rowOff>
    </xdr:from>
    <xdr:to>
      <xdr:col>35</xdr:col>
      <xdr:colOff>0</xdr:colOff>
      <xdr:row>9</xdr:row>
      <xdr:rowOff>190500</xdr:rowOff>
    </xdr:to>
    <xdr:sp macro="beforeChangeShapes" textlink="">
      <xdr:nvSpPr>
        <xdr:cNvPr id="282" name="タスク_10"/>
        <xdr:cNvSpPr/>
      </xdr:nvSpPr>
      <xdr:spPr>
        <a:xfrm>
          <a:off x="18602325" y="2482850"/>
          <a:ext cx="47625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B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9</xdr:row>
      <xdr:rowOff>0</xdr:rowOff>
    </xdr:from>
    <xdr:to>
      <xdr:col>22</xdr:col>
      <xdr:colOff>0</xdr:colOff>
      <xdr:row>10</xdr:row>
      <xdr:rowOff>0</xdr:rowOff>
    </xdr:to>
    <xdr:cxnSp macro="">
      <xdr:nvCxnSpPr>
        <xdr:cNvPr id="283" name="直線コネクタ 282"/>
        <xdr:cNvCxnSpPr/>
      </xdr:nvCxnSpPr>
      <xdr:spPr>
        <a:xfrm>
          <a:off x="15982950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10</xdr:row>
      <xdr:rowOff>63500</xdr:rowOff>
    </xdr:from>
    <xdr:to>
      <xdr:col>29</xdr:col>
      <xdr:colOff>0</xdr:colOff>
      <xdr:row>10</xdr:row>
      <xdr:rowOff>190500</xdr:rowOff>
    </xdr:to>
    <xdr:sp macro="beforeChangeShapes" textlink="">
      <xdr:nvSpPr>
        <xdr:cNvPr id="284" name="タスク_11"/>
        <xdr:cNvSpPr/>
      </xdr:nvSpPr>
      <xdr:spPr>
        <a:xfrm>
          <a:off x="16697325" y="2730500"/>
          <a:ext cx="952500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C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10</xdr:row>
      <xdr:rowOff>0</xdr:rowOff>
    </xdr:from>
    <xdr:to>
      <xdr:col>22</xdr:col>
      <xdr:colOff>0</xdr:colOff>
      <xdr:row>11</xdr:row>
      <xdr:rowOff>0</xdr:rowOff>
    </xdr:to>
    <xdr:cxnSp macro="">
      <xdr:nvCxnSpPr>
        <xdr:cNvPr id="285" name="直線コネクタ 284"/>
        <xdr:cNvCxnSpPr/>
      </xdr:nvCxnSpPr>
      <xdr:spPr>
        <a:xfrm>
          <a:off x="15982950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58"/>
  <sheetViews>
    <sheetView showGridLines="0" topLeftCell="A31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36" t="s">
        <v>121</v>
      </c>
      <c r="C2" s="236"/>
      <c r="D2" s="236"/>
      <c r="E2" s="236"/>
      <c r="F2" s="236"/>
      <c r="G2" s="236"/>
      <c r="H2" s="236"/>
      <c r="I2" s="236"/>
      <c r="J2" s="236"/>
      <c r="K2" s="236"/>
      <c r="L2" s="236"/>
    </row>
    <row r="3" spans="2:12" ht="19.5" customHeight="1">
      <c r="B3" s="237" t="s">
        <v>122</v>
      </c>
      <c r="C3" s="237"/>
      <c r="D3" s="237"/>
      <c r="E3" s="237"/>
      <c r="F3" s="237"/>
      <c r="G3" s="237"/>
      <c r="H3" s="237"/>
      <c r="I3" s="237"/>
      <c r="J3" s="237"/>
      <c r="K3" s="237"/>
      <c r="L3" s="237"/>
    </row>
    <row r="4" spans="2:12" ht="19.5" customHeight="1">
      <c r="B4" s="237" t="s">
        <v>123</v>
      </c>
      <c r="C4" s="237"/>
      <c r="D4" s="237"/>
      <c r="E4" s="237"/>
      <c r="F4" s="237"/>
      <c r="G4" s="237"/>
      <c r="H4" s="237"/>
      <c r="I4" s="237"/>
      <c r="J4" s="237"/>
      <c r="K4" s="237"/>
      <c r="L4" s="237"/>
    </row>
    <row r="5" spans="2:12" ht="19.5" customHeight="1">
      <c r="B5" s="238"/>
      <c r="C5" s="238"/>
      <c r="D5" s="238"/>
      <c r="E5" s="238"/>
      <c r="F5" s="238"/>
      <c r="G5" s="238"/>
      <c r="H5" s="238"/>
      <c r="I5" s="238"/>
      <c r="J5" s="238"/>
      <c r="K5" s="238"/>
      <c r="L5" s="238"/>
    </row>
    <row r="6" spans="2:12" ht="19.5" customHeight="1">
      <c r="B6" s="235"/>
      <c r="C6" s="235"/>
      <c r="D6" s="235"/>
      <c r="E6" s="235"/>
      <c r="F6" s="235"/>
      <c r="G6" s="235"/>
      <c r="H6" s="235"/>
      <c r="I6" s="235"/>
      <c r="J6" s="235"/>
      <c r="K6" s="235"/>
      <c r="L6" s="235"/>
    </row>
    <row r="7" spans="2:12" ht="19.5" customHeight="1">
      <c r="B7" s="235"/>
      <c r="C7" s="235"/>
      <c r="D7" s="235"/>
      <c r="E7" s="235"/>
      <c r="F7" s="235"/>
      <c r="G7" s="235"/>
      <c r="H7" s="235"/>
      <c r="I7" s="235"/>
      <c r="J7" s="235"/>
      <c r="K7" s="235"/>
      <c r="L7" s="235"/>
    </row>
    <row r="8" spans="2:12" ht="19.5" customHeight="1">
      <c r="B8" s="235"/>
      <c r="C8" s="235"/>
      <c r="D8" s="235"/>
      <c r="E8" s="235"/>
      <c r="F8" s="235"/>
      <c r="G8" s="235"/>
      <c r="H8" s="235"/>
      <c r="I8" s="235"/>
      <c r="J8" s="235"/>
      <c r="K8" s="235"/>
      <c r="L8" s="235"/>
    </row>
    <row r="9" spans="2:12" ht="19.5" customHeight="1">
      <c r="B9" s="235"/>
      <c r="C9" s="235"/>
      <c r="D9" s="235"/>
      <c r="E9" s="235"/>
      <c r="F9" s="235"/>
      <c r="G9" s="235"/>
      <c r="H9" s="235"/>
      <c r="I9" s="235"/>
      <c r="J9" s="235"/>
      <c r="K9" s="235"/>
      <c r="L9" s="235"/>
    </row>
    <row r="10" spans="2:12" ht="19.5" customHeight="1">
      <c r="B10" s="235"/>
      <c r="C10" s="235"/>
      <c r="D10" s="235"/>
      <c r="E10" s="235"/>
      <c r="F10" s="235"/>
      <c r="G10" s="235"/>
      <c r="H10" s="235"/>
      <c r="I10" s="235"/>
      <c r="J10" s="235"/>
      <c r="K10" s="235"/>
      <c r="L10" s="235"/>
    </row>
    <row r="11" spans="2:12" ht="19.5" customHeight="1">
      <c r="B11" s="238"/>
      <c r="C11" s="238"/>
      <c r="D11" s="238"/>
      <c r="E11" s="238"/>
      <c r="F11" s="238"/>
      <c r="G11" s="238"/>
      <c r="H11" s="238"/>
      <c r="I11" s="238"/>
      <c r="J11" s="238"/>
      <c r="K11" s="238"/>
      <c r="L11" s="238"/>
    </row>
    <row r="12" spans="2:12" ht="19.5" customHeight="1">
      <c r="B12" s="235"/>
      <c r="C12" s="235"/>
      <c r="D12" s="235"/>
      <c r="E12" s="235"/>
      <c r="F12" s="235"/>
      <c r="G12" s="235"/>
      <c r="H12" s="235"/>
      <c r="I12" s="235"/>
      <c r="J12" s="235"/>
      <c r="K12" s="235"/>
      <c r="L12" s="235"/>
    </row>
    <row r="31" spans="1:41" ht="19.5" customHeight="1">
      <c r="A31" s="7" t="s">
        <v>23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</row>
    <row r="32" spans="1:41" ht="19.5" customHeight="1" thickBot="1">
      <c r="A32" s="9" t="s">
        <v>22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2:2" ht="19.5" customHeight="1" thickTop="1">
      <c r="B33" s="6" t="s">
        <v>24</v>
      </c>
    </row>
    <row r="49" spans="1:41" ht="19.5" customHeight="1" thickBot="1">
      <c r="A49" s="66" t="s">
        <v>113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9.5" customHeight="1" thickTop="1">
      <c r="B50" s="67" t="s">
        <v>114</v>
      </c>
    </row>
    <row r="52" spans="1:41" ht="19.5" customHeight="1">
      <c r="B52" s="68" t="s">
        <v>117</v>
      </c>
      <c r="C52" s="68"/>
      <c r="D52" s="68"/>
      <c r="E52" s="68"/>
      <c r="F52" s="68"/>
      <c r="G52" s="68"/>
      <c r="H52" s="68"/>
      <c r="I52" s="76" t="s">
        <v>118</v>
      </c>
      <c r="J52" s="77"/>
      <c r="K52" s="77"/>
      <c r="L52" s="77"/>
      <c r="M52" s="77"/>
      <c r="N52" s="78"/>
      <c r="O52" s="75"/>
      <c r="P52" s="75"/>
      <c r="Q52" s="75"/>
      <c r="R52" s="75"/>
      <c r="S52" s="75"/>
      <c r="T52" s="75"/>
      <c r="U52" s="75"/>
      <c r="V52" s="75"/>
    </row>
    <row r="53" spans="1:41" ht="19.5" customHeight="1">
      <c r="B53" s="69" t="s">
        <v>116</v>
      </c>
      <c r="C53" s="70"/>
      <c r="D53" s="70"/>
      <c r="E53" s="70"/>
      <c r="F53" s="70"/>
      <c r="G53" s="70"/>
      <c r="H53" s="70"/>
      <c r="I53" s="69" t="s">
        <v>120</v>
      </c>
      <c r="J53" s="70"/>
      <c r="K53" s="70"/>
      <c r="L53" s="70"/>
      <c r="M53" s="70"/>
      <c r="N53" s="71"/>
      <c r="O53" s="70" t="s">
        <v>124</v>
      </c>
      <c r="P53" s="70"/>
      <c r="Q53" s="70"/>
      <c r="R53" s="70"/>
      <c r="S53" s="70"/>
      <c r="T53" s="70"/>
      <c r="U53" s="70"/>
      <c r="V53" s="70"/>
    </row>
    <row r="54" spans="1:41" ht="19.5" customHeight="1">
      <c r="B54" s="69" t="s">
        <v>115</v>
      </c>
      <c r="C54" s="70"/>
      <c r="D54" s="70"/>
      <c r="E54" s="70"/>
      <c r="F54" s="70"/>
      <c r="G54" s="70"/>
      <c r="H54" s="70"/>
      <c r="I54" s="69" t="s">
        <v>119</v>
      </c>
      <c r="J54" s="70"/>
      <c r="K54" s="70"/>
      <c r="L54" s="70"/>
      <c r="M54" s="70"/>
      <c r="N54" s="71"/>
      <c r="O54" s="70" t="s">
        <v>124</v>
      </c>
      <c r="P54" s="70"/>
      <c r="Q54" s="70"/>
      <c r="R54" s="70"/>
      <c r="S54" s="70"/>
      <c r="T54" s="70"/>
      <c r="U54" s="70"/>
      <c r="V54" s="70"/>
    </row>
    <row r="55" spans="1:41" ht="19.5" customHeight="1">
      <c r="B55" s="72"/>
      <c r="C55" s="73"/>
      <c r="D55" s="73"/>
      <c r="E55" s="73"/>
      <c r="F55" s="73"/>
      <c r="G55" s="73"/>
      <c r="H55" s="73"/>
      <c r="I55" s="72"/>
      <c r="J55" s="73"/>
      <c r="K55" s="73"/>
      <c r="L55" s="73"/>
      <c r="M55" s="73"/>
      <c r="N55" s="74"/>
      <c r="O55" s="73"/>
      <c r="P55" s="73"/>
      <c r="Q55" s="73"/>
      <c r="R55" s="73"/>
      <c r="S55" s="73"/>
      <c r="T55" s="73"/>
      <c r="U55" s="73"/>
      <c r="V55" s="73"/>
    </row>
    <row r="56" spans="1:41" ht="19.5" customHeight="1">
      <c r="B56" s="72"/>
      <c r="C56" s="73"/>
      <c r="D56" s="73"/>
      <c r="E56" s="73"/>
      <c r="F56" s="73"/>
      <c r="G56" s="73"/>
      <c r="H56" s="73"/>
      <c r="I56" s="72"/>
      <c r="J56" s="73"/>
      <c r="K56" s="73"/>
      <c r="L56" s="73"/>
      <c r="M56" s="73"/>
      <c r="N56" s="74"/>
      <c r="O56" s="73"/>
      <c r="P56" s="73"/>
      <c r="Q56" s="73"/>
      <c r="R56" s="73"/>
      <c r="S56" s="73"/>
      <c r="T56" s="73"/>
      <c r="U56" s="73"/>
      <c r="V56" s="73"/>
    </row>
    <row r="57" spans="1:41" ht="19.5" customHeight="1">
      <c r="B57" s="72"/>
      <c r="C57" s="73"/>
      <c r="D57" s="73"/>
      <c r="E57" s="73"/>
      <c r="F57" s="73"/>
      <c r="G57" s="73"/>
      <c r="H57" s="73"/>
      <c r="I57" s="72"/>
      <c r="J57" s="73"/>
      <c r="K57" s="73"/>
      <c r="L57" s="73"/>
      <c r="M57" s="73"/>
      <c r="N57" s="74"/>
      <c r="O57" s="73"/>
      <c r="P57" s="73"/>
      <c r="Q57" s="73"/>
      <c r="R57" s="73"/>
      <c r="S57" s="73"/>
      <c r="T57" s="73"/>
      <c r="U57" s="73"/>
      <c r="V57" s="73"/>
    </row>
    <row r="58" spans="1:41" ht="19.5" customHeight="1">
      <c r="B58" s="72"/>
      <c r="C58" s="73"/>
      <c r="D58" s="73"/>
      <c r="E58" s="73"/>
      <c r="F58" s="73"/>
      <c r="G58" s="73"/>
      <c r="H58" s="73"/>
      <c r="I58" s="72"/>
      <c r="J58" s="73"/>
      <c r="K58" s="73"/>
      <c r="L58" s="73"/>
      <c r="M58" s="73"/>
      <c r="N58" s="74"/>
      <c r="O58" s="73"/>
      <c r="P58" s="73"/>
      <c r="Q58" s="73"/>
      <c r="R58" s="73"/>
      <c r="S58" s="73"/>
      <c r="T58" s="73"/>
      <c r="U58" s="73"/>
      <c r="V58" s="73"/>
    </row>
  </sheetData>
  <mergeCells count="11">
    <mergeCell ref="B8:L8"/>
    <mergeCell ref="B9:L9"/>
    <mergeCell ref="B10:L10"/>
    <mergeCell ref="B11:L11"/>
    <mergeCell ref="B12:L12"/>
    <mergeCell ref="B7:L7"/>
    <mergeCell ref="B2:L2"/>
    <mergeCell ref="B3:L3"/>
    <mergeCell ref="B4:L4"/>
    <mergeCell ref="B5:L5"/>
    <mergeCell ref="B6:L6"/>
  </mergeCells>
  <phoneticPr fontId="22"/>
  <hyperlinks>
    <hyperlink ref="B2:L2" location="#A31" display="#A31"/>
    <hyperlink ref="B3:L3" location="#A32" display="#A32"/>
    <hyperlink ref="B4:L4" location="#A49" display="#A49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0"/>
    </sheetView>
  </sheetViews>
  <sheetFormatPr defaultRowHeight="16.5"/>
  <sheetData/>
  <sortState ref="A1:A10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16" sqref="B16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13</v>
      </c>
      <c r="B1" s="3" t="s">
        <v>14</v>
      </c>
    </row>
    <row r="2" spans="1:2" ht="15" customHeight="1">
      <c r="A2" s="5">
        <v>1</v>
      </c>
      <c r="B2" s="5" t="s">
        <v>15</v>
      </c>
    </row>
    <row r="3" spans="1:2" ht="15" customHeight="1">
      <c r="A3" s="5">
        <v>2</v>
      </c>
      <c r="B3" s="5" t="s">
        <v>16</v>
      </c>
    </row>
    <row r="4" spans="1:2" ht="15" customHeight="1">
      <c r="A4" s="5">
        <v>3</v>
      </c>
      <c r="B4" s="5" t="s">
        <v>17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19</v>
      </c>
    </row>
    <row r="8" spans="1:2" ht="15" customHeight="1">
      <c r="A8" s="5">
        <v>200</v>
      </c>
      <c r="B8" s="5" t="s">
        <v>18</v>
      </c>
    </row>
    <row r="10" spans="1:2" ht="15" customHeight="1">
      <c r="A10" s="5">
        <v>50</v>
      </c>
      <c r="B10" s="5" t="s">
        <v>27</v>
      </c>
    </row>
    <row r="11" spans="1:2" ht="15" customHeight="1">
      <c r="A11" s="5">
        <v>400</v>
      </c>
      <c r="B11" s="44" t="s">
        <v>59</v>
      </c>
    </row>
    <row r="12" spans="1:2" ht="15" customHeight="1">
      <c r="A12" s="5">
        <v>401</v>
      </c>
      <c r="B12" s="44" t="s">
        <v>58</v>
      </c>
    </row>
    <row r="13" spans="1:2" ht="15" customHeight="1">
      <c r="A13" s="5">
        <v>402</v>
      </c>
      <c r="B13" s="5" t="s">
        <v>60</v>
      </c>
    </row>
    <row r="14" spans="1:2" ht="15" customHeight="1">
      <c r="A14" s="5">
        <v>403</v>
      </c>
      <c r="B14" s="5" t="s">
        <v>61</v>
      </c>
    </row>
    <row r="15" spans="1:2" ht="15" customHeight="1">
      <c r="A15" s="5">
        <v>404</v>
      </c>
      <c r="B15" s="5" t="s">
        <v>185</v>
      </c>
    </row>
    <row r="27" spans="1:2" ht="15" customHeight="1">
      <c r="A27" s="5">
        <v>13</v>
      </c>
      <c r="B27" s="5" t="s">
        <v>20</v>
      </c>
    </row>
    <row r="28" spans="1:2" ht="15" customHeight="1">
      <c r="A28" s="5">
        <v>91</v>
      </c>
      <c r="B28" s="5" t="s">
        <v>21</v>
      </c>
    </row>
    <row r="29" spans="1:2" ht="15" customHeight="1">
      <c r="A29" s="5">
        <v>1004</v>
      </c>
      <c r="B29" s="5" t="s">
        <v>184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X82"/>
  <sheetViews>
    <sheetView showGridLines="0" zoomScale="85" zoomScaleNormal="85" workbookViewId="0">
      <pane ySplit="2" topLeftCell="A3" activePane="bottomLeft" state="frozen"/>
      <selection pane="bottomLeft" sqref="A1:B1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91" customWidth="1"/>
    <col min="10" max="10" width="5.625" style="92" customWidth="1"/>
    <col min="11" max="11" width="15.625" style="11" customWidth="1"/>
    <col min="12" max="13" width="15.625" style="4" customWidth="1"/>
    <col min="14" max="14" width="5.625" style="4" customWidth="1"/>
    <col min="15" max="15" width="15.625" style="96" customWidth="1"/>
    <col min="16" max="16" width="5.625" style="96" customWidth="1"/>
    <col min="17" max="17" width="15.625" style="101" customWidth="1"/>
    <col min="18" max="18" width="15.625" style="4" customWidth="1"/>
    <col min="19" max="19" width="5.625" style="24" customWidth="1"/>
    <col min="20" max="20" width="15.625" style="24" customWidth="1"/>
    <col min="21" max="21" width="5.625" style="24" customWidth="1"/>
    <col min="22" max="16384" width="3.125" style="24"/>
  </cols>
  <sheetData>
    <row r="1" spans="1:24" ht="20.100000000000001" customHeight="1">
      <c r="A1" s="239" t="s">
        <v>12</v>
      </c>
      <c r="B1" s="239"/>
      <c r="C1" s="14"/>
      <c r="D1" s="239" t="s">
        <v>11</v>
      </c>
      <c r="E1" s="239"/>
      <c r="F1" s="14"/>
      <c r="G1" s="239" t="s">
        <v>10</v>
      </c>
      <c r="H1" s="239"/>
      <c r="I1" s="239"/>
      <c r="K1" s="4"/>
      <c r="N1" s="14"/>
      <c r="O1" s="93"/>
      <c r="P1" s="94"/>
      <c r="Q1" s="100"/>
      <c r="R1" s="14"/>
      <c r="S1" s="97"/>
      <c r="T1" s="97"/>
    </row>
    <row r="2" spans="1:24" ht="20.100000000000001" customHeight="1">
      <c r="A2" s="18" t="s">
        <v>6</v>
      </c>
      <c r="B2" s="18" t="s">
        <v>7</v>
      </c>
      <c r="C2" s="15"/>
      <c r="D2" s="18" t="s">
        <v>6</v>
      </c>
      <c r="E2" s="18" t="s">
        <v>7</v>
      </c>
      <c r="F2" s="15"/>
      <c r="G2" s="18" t="s">
        <v>6</v>
      </c>
      <c r="H2" s="88"/>
      <c r="I2" s="88" t="s">
        <v>8</v>
      </c>
      <c r="K2" s="58" t="s">
        <v>1</v>
      </c>
      <c r="L2" s="18" t="s">
        <v>224</v>
      </c>
      <c r="M2" s="18" t="s">
        <v>7</v>
      </c>
      <c r="N2" s="15"/>
      <c r="O2" s="95" t="s">
        <v>241</v>
      </c>
      <c r="Q2" s="240" t="s">
        <v>239</v>
      </c>
      <c r="R2" s="241"/>
      <c r="S2" s="97"/>
      <c r="T2" s="18" t="s">
        <v>91</v>
      </c>
    </row>
    <row r="3" spans="1:24" s="98" customFormat="1" ht="20.100000000000001" customHeight="1">
      <c r="A3" s="1" t="s">
        <v>25</v>
      </c>
      <c r="B3" s="16" t="s">
        <v>238</v>
      </c>
      <c r="C3" s="15"/>
      <c r="D3" s="1"/>
      <c r="E3" s="17"/>
      <c r="F3" s="15"/>
      <c r="G3" s="53" t="s">
        <v>71</v>
      </c>
      <c r="H3" s="89" t="s">
        <v>79</v>
      </c>
      <c r="I3" s="90"/>
      <c r="J3" s="92"/>
      <c r="K3" s="273" t="s">
        <v>240</v>
      </c>
      <c r="L3" s="17"/>
      <c r="M3" s="17"/>
      <c r="N3" s="15"/>
      <c r="O3" s="64">
        <v>44050</v>
      </c>
      <c r="P3" s="96"/>
      <c r="Q3" s="64">
        <v>44096</v>
      </c>
      <c r="R3" s="13" t="s">
        <v>236</v>
      </c>
      <c r="S3" s="97"/>
      <c r="T3" s="64" t="s">
        <v>92</v>
      </c>
      <c r="U3" s="24"/>
      <c r="V3" s="24"/>
      <c r="W3" s="24"/>
      <c r="X3" s="24"/>
    </row>
    <row r="4" spans="1:24" s="99" customFormat="1" ht="20.100000000000001" customHeight="1">
      <c r="A4" s="1" t="s">
        <v>28</v>
      </c>
      <c r="B4" s="12" t="s">
        <v>125</v>
      </c>
      <c r="C4" s="15"/>
      <c r="D4" s="1"/>
      <c r="E4" s="17"/>
      <c r="F4" s="15"/>
      <c r="G4" s="53" t="s">
        <v>68</v>
      </c>
      <c r="H4" s="89" t="s">
        <v>80</v>
      </c>
      <c r="I4" s="90"/>
      <c r="J4" s="92"/>
      <c r="K4" s="274" t="s">
        <v>165</v>
      </c>
      <c r="L4" s="17"/>
      <c r="M4" s="17"/>
      <c r="N4" s="15"/>
      <c r="O4" s="64">
        <v>44054</v>
      </c>
      <c r="P4" s="96"/>
      <c r="Q4" s="64">
        <v>44096</v>
      </c>
      <c r="R4" s="13" t="s">
        <v>112</v>
      </c>
      <c r="S4" s="97"/>
      <c r="T4" s="64" t="s">
        <v>93</v>
      </c>
      <c r="U4" s="24"/>
      <c r="V4" s="24"/>
      <c r="W4" s="24"/>
      <c r="X4" s="24"/>
    </row>
    <row r="5" spans="1:24" ht="20.100000000000001" customHeight="1">
      <c r="A5" s="1" t="s">
        <v>235</v>
      </c>
      <c r="B5" s="223">
        <v>50</v>
      </c>
      <c r="C5" s="15"/>
      <c r="D5" s="1"/>
      <c r="E5" s="17"/>
      <c r="F5" s="15"/>
      <c r="G5" s="53" t="s">
        <v>69</v>
      </c>
      <c r="H5" s="89" t="s">
        <v>81</v>
      </c>
      <c r="I5" s="90"/>
      <c r="K5" s="274" t="s">
        <v>166</v>
      </c>
      <c r="L5" s="17"/>
      <c r="M5" s="17"/>
      <c r="N5" s="15"/>
      <c r="O5" s="64">
        <v>44195</v>
      </c>
      <c r="Q5" s="64"/>
      <c r="R5" s="13"/>
      <c r="S5" s="97"/>
      <c r="T5" s="64" t="s">
        <v>94</v>
      </c>
    </row>
    <row r="6" spans="1:24" s="99" customFormat="1" ht="20.100000000000001" customHeight="1">
      <c r="A6" s="232" t="s">
        <v>233</v>
      </c>
      <c r="B6" s="233" t="s">
        <v>234</v>
      </c>
      <c r="C6" s="15"/>
      <c r="D6" s="1"/>
      <c r="E6" s="17"/>
      <c r="F6" s="15"/>
      <c r="G6" s="53" t="s">
        <v>70</v>
      </c>
      <c r="H6" s="89" t="s">
        <v>86</v>
      </c>
      <c r="I6" s="90"/>
      <c r="J6" s="92"/>
      <c r="K6" s="274" t="s">
        <v>167</v>
      </c>
      <c r="L6" s="17"/>
      <c r="M6" s="17"/>
      <c r="N6" s="15"/>
      <c r="O6" s="64">
        <v>44196</v>
      </c>
      <c r="P6" s="96"/>
      <c r="Q6" s="64"/>
      <c r="R6" s="13"/>
      <c r="S6" s="97"/>
      <c r="T6" s="64" t="s">
        <v>95</v>
      </c>
      <c r="U6" s="24"/>
      <c r="V6" s="24"/>
      <c r="W6" s="24"/>
      <c r="X6" s="24"/>
    </row>
    <row r="7" spans="1:24" s="99" customFormat="1" ht="20.100000000000001" customHeight="1">
      <c r="A7" s="232" t="s">
        <v>230</v>
      </c>
      <c r="B7" s="233" t="s">
        <v>208</v>
      </c>
      <c r="C7" s="15"/>
      <c r="D7" s="1"/>
      <c r="E7" s="17"/>
      <c r="F7" s="15"/>
      <c r="G7" s="53" t="s">
        <v>72</v>
      </c>
      <c r="H7" s="89" t="s">
        <v>83</v>
      </c>
      <c r="I7" s="90" t="s">
        <v>73</v>
      </c>
      <c r="J7" s="92"/>
      <c r="K7" s="275" t="s">
        <v>168</v>
      </c>
      <c r="L7" s="17"/>
      <c r="M7" s="17"/>
      <c r="N7" s="15"/>
      <c r="O7" s="64">
        <v>44198</v>
      </c>
      <c r="P7" s="96"/>
      <c r="Q7" s="64"/>
      <c r="R7" s="13"/>
      <c r="S7" s="97"/>
      <c r="T7" s="64" t="s">
        <v>64</v>
      </c>
      <c r="U7" s="24"/>
      <c r="V7" s="24"/>
      <c r="W7" s="24"/>
      <c r="X7" s="24"/>
    </row>
    <row r="8" spans="1:24" s="99" customFormat="1" ht="20.100000000000001" customHeight="1">
      <c r="A8" s="232" t="s">
        <v>225</v>
      </c>
      <c r="B8" s="233" t="s">
        <v>209</v>
      </c>
      <c r="C8" s="15"/>
      <c r="D8" s="1"/>
      <c r="E8" s="17"/>
      <c r="F8" s="15"/>
      <c r="G8" s="53" t="s">
        <v>67</v>
      </c>
      <c r="H8" s="89" t="s">
        <v>84</v>
      </c>
      <c r="I8" s="90" t="s">
        <v>9</v>
      </c>
      <c r="J8" s="92"/>
      <c r="K8" s="276" t="s">
        <v>169</v>
      </c>
      <c r="L8" s="17"/>
      <c r="M8" s="17"/>
      <c r="N8" s="15"/>
      <c r="O8" s="64"/>
      <c r="P8" s="96"/>
      <c r="Q8" s="64"/>
      <c r="R8" s="13"/>
      <c r="S8" s="97"/>
      <c r="T8" s="64" t="s">
        <v>96</v>
      </c>
      <c r="U8" s="24"/>
      <c r="V8" s="24"/>
      <c r="W8" s="24"/>
      <c r="X8" s="24"/>
    </row>
    <row r="9" spans="1:24" s="99" customFormat="1" ht="20.100000000000001" customHeight="1">
      <c r="A9" s="232" t="s">
        <v>226</v>
      </c>
      <c r="B9" s="233" t="s">
        <v>210</v>
      </c>
      <c r="C9" s="15"/>
      <c r="D9" s="1"/>
      <c r="E9" s="17"/>
      <c r="F9" s="15"/>
      <c r="G9" s="53" t="s">
        <v>75</v>
      </c>
      <c r="H9" s="89" t="s">
        <v>85</v>
      </c>
      <c r="I9" s="90" t="s">
        <v>74</v>
      </c>
      <c r="J9" s="92"/>
      <c r="K9" s="276" t="s">
        <v>170</v>
      </c>
      <c r="L9" s="17"/>
      <c r="M9" s="17"/>
      <c r="N9" s="15"/>
      <c r="O9" s="64"/>
      <c r="P9" s="96"/>
      <c r="Q9" s="64"/>
      <c r="R9" s="13"/>
      <c r="S9" s="97"/>
      <c r="T9" s="64"/>
      <c r="U9" s="24"/>
      <c r="V9" s="24"/>
      <c r="W9" s="24"/>
      <c r="X9" s="24"/>
    </row>
    <row r="10" spans="1:24" s="99" customFormat="1" ht="20.100000000000001" customHeight="1">
      <c r="A10" s="232" t="s">
        <v>227</v>
      </c>
      <c r="B10" s="233" t="s">
        <v>211</v>
      </c>
      <c r="C10" s="15"/>
      <c r="D10" s="1"/>
      <c r="E10" s="17"/>
      <c r="F10" s="15"/>
      <c r="G10" s="53" t="s">
        <v>76</v>
      </c>
      <c r="H10" s="89" t="s">
        <v>82</v>
      </c>
      <c r="I10" s="90"/>
      <c r="J10" s="92"/>
      <c r="K10" s="276" t="s">
        <v>171</v>
      </c>
      <c r="L10" s="17"/>
      <c r="M10" s="17"/>
      <c r="N10" s="15"/>
      <c r="O10" s="64"/>
      <c r="P10" s="96"/>
      <c r="Q10" s="64"/>
      <c r="R10" s="13"/>
      <c r="S10" s="97"/>
      <c r="T10" s="64"/>
      <c r="U10" s="24"/>
      <c r="V10" s="24"/>
      <c r="W10" s="24"/>
      <c r="X10" s="24"/>
    </row>
    <row r="11" spans="1:24" s="99" customFormat="1" ht="20.100000000000001" customHeight="1">
      <c r="A11" s="232" t="s">
        <v>228</v>
      </c>
      <c r="B11" s="233" t="s">
        <v>229</v>
      </c>
      <c r="C11" s="15"/>
      <c r="D11" s="1"/>
      <c r="E11" s="17"/>
      <c r="F11" s="15"/>
      <c r="G11" s="53" t="s">
        <v>77</v>
      </c>
      <c r="H11" s="89" t="s">
        <v>87</v>
      </c>
      <c r="I11" s="90"/>
      <c r="J11" s="92"/>
      <c r="K11" s="277" t="s">
        <v>172</v>
      </c>
      <c r="L11" s="17"/>
      <c r="M11" s="17"/>
      <c r="N11" s="15"/>
      <c r="O11" s="64"/>
      <c r="P11" s="96"/>
      <c r="Q11" s="64"/>
      <c r="R11" s="13"/>
      <c r="S11" s="97"/>
      <c r="T11" s="64"/>
      <c r="U11" s="24"/>
      <c r="V11" s="24"/>
      <c r="W11" s="24"/>
      <c r="X11" s="24"/>
    </row>
    <row r="12" spans="1:24" s="99" customFormat="1" ht="20.100000000000001" customHeight="1">
      <c r="A12" s="1" t="s">
        <v>42</v>
      </c>
      <c r="B12" s="34" t="b">
        <v>0</v>
      </c>
      <c r="C12" s="15"/>
      <c r="D12" s="1"/>
      <c r="E12" s="17"/>
      <c r="F12" s="15"/>
      <c r="G12" s="53" t="s">
        <v>78</v>
      </c>
      <c r="H12" s="89" t="s">
        <v>88</v>
      </c>
      <c r="I12" s="90"/>
      <c r="J12" s="92"/>
      <c r="K12" s="278" t="s">
        <v>173</v>
      </c>
      <c r="L12" s="17"/>
      <c r="M12" s="17"/>
      <c r="N12" s="15"/>
      <c r="O12" s="64"/>
      <c r="P12" s="96"/>
      <c r="Q12" s="64"/>
      <c r="R12" s="13"/>
      <c r="S12" s="97"/>
      <c r="T12" s="64"/>
      <c r="U12" s="24"/>
      <c r="V12" s="24"/>
      <c r="W12" s="24"/>
      <c r="X12" s="24"/>
    </row>
    <row r="13" spans="1:24" s="99" customFormat="1" ht="20.100000000000001" customHeight="1">
      <c r="A13" s="1" t="s">
        <v>49</v>
      </c>
      <c r="B13" s="12" t="b">
        <v>0</v>
      </c>
      <c r="C13" s="15"/>
      <c r="D13" s="1"/>
      <c r="E13" s="17"/>
      <c r="F13" s="15"/>
      <c r="G13" s="53"/>
      <c r="H13" s="89"/>
      <c r="I13" s="90"/>
      <c r="J13" s="92"/>
      <c r="K13" s="278" t="s">
        <v>174</v>
      </c>
      <c r="L13" s="17"/>
      <c r="M13" s="17"/>
      <c r="N13" s="15"/>
      <c r="O13" s="64"/>
      <c r="P13" s="96"/>
      <c r="Q13" s="64"/>
      <c r="R13" s="13"/>
      <c r="S13" s="97"/>
      <c r="T13" s="64"/>
      <c r="U13" s="24"/>
      <c r="V13" s="24"/>
      <c r="W13" s="24"/>
      <c r="X13" s="24"/>
    </row>
    <row r="14" spans="1:24" s="99" customFormat="1" ht="20.100000000000001" customHeight="1">
      <c r="A14" s="1" t="s">
        <v>90</v>
      </c>
      <c r="B14" s="64">
        <v>44075</v>
      </c>
      <c r="C14" s="15"/>
      <c r="D14" s="1"/>
      <c r="E14" s="17"/>
      <c r="F14" s="15"/>
      <c r="G14" s="53"/>
      <c r="H14" s="89"/>
      <c r="I14" s="90"/>
      <c r="J14" s="92"/>
      <c r="K14" s="278" t="s">
        <v>175</v>
      </c>
      <c r="L14" s="17"/>
      <c r="M14" s="17"/>
      <c r="N14" s="15"/>
      <c r="O14" s="64"/>
      <c r="P14" s="96"/>
      <c r="Q14" s="64"/>
      <c r="R14" s="13"/>
      <c r="S14" s="97"/>
      <c r="T14" s="64"/>
      <c r="U14" s="24"/>
      <c r="V14" s="24"/>
      <c r="W14" s="24"/>
      <c r="X14" s="24"/>
    </row>
    <row r="15" spans="1:24" s="99" customFormat="1" ht="20.100000000000001" customHeight="1">
      <c r="A15" s="1" t="s">
        <v>130</v>
      </c>
      <c r="B15" s="64">
        <v>44107</v>
      </c>
      <c r="C15" s="15"/>
      <c r="D15" s="1"/>
      <c r="E15" s="17"/>
      <c r="F15" s="15"/>
      <c r="G15" s="53"/>
      <c r="H15" s="89"/>
      <c r="I15" s="90"/>
      <c r="J15" s="92"/>
      <c r="K15" s="278" t="s">
        <v>176</v>
      </c>
      <c r="L15" s="17"/>
      <c r="M15" s="17"/>
      <c r="N15" s="15"/>
      <c r="O15" s="64"/>
      <c r="P15" s="96"/>
      <c r="Q15" s="64"/>
      <c r="R15" s="13"/>
      <c r="S15" s="97"/>
      <c r="T15" s="64"/>
      <c r="U15" s="24"/>
      <c r="V15" s="24"/>
      <c r="W15" s="24"/>
      <c r="X15" s="24"/>
    </row>
    <row r="16" spans="1:24" s="99" customFormat="1" ht="20.100000000000001" customHeight="1">
      <c r="A16" s="1" t="s">
        <v>131</v>
      </c>
      <c r="B16" s="64">
        <f ca="1">TODAY()</f>
        <v>44081</v>
      </c>
      <c r="C16" s="15"/>
      <c r="D16" s="1"/>
      <c r="E16" s="17"/>
      <c r="F16" s="15"/>
      <c r="G16" s="53"/>
      <c r="H16" s="89"/>
      <c r="I16" s="90"/>
      <c r="J16" s="92"/>
      <c r="K16" s="278" t="s">
        <v>177</v>
      </c>
      <c r="L16" s="17"/>
      <c r="M16" s="17"/>
      <c r="N16" s="15"/>
      <c r="O16" s="64"/>
      <c r="P16" s="96"/>
      <c r="Q16" s="64"/>
      <c r="R16" s="13"/>
      <c r="S16" s="97"/>
      <c r="T16" s="64"/>
      <c r="U16" s="24"/>
      <c r="V16" s="24"/>
      <c r="W16" s="24"/>
      <c r="X16" s="24"/>
    </row>
    <row r="17" spans="1:24" s="99" customFormat="1" ht="20.100000000000001" customHeight="1">
      <c r="A17" s="1" t="s">
        <v>43</v>
      </c>
      <c r="B17" s="12" t="s">
        <v>62</v>
      </c>
      <c r="C17" s="15"/>
      <c r="D17" s="1"/>
      <c r="E17" s="17"/>
      <c r="F17" s="15"/>
      <c r="G17" s="53"/>
      <c r="H17" s="89"/>
      <c r="I17" s="90"/>
      <c r="J17" s="92"/>
      <c r="K17" s="278" t="s">
        <v>178</v>
      </c>
      <c r="L17" s="17"/>
      <c r="M17" s="17"/>
      <c r="N17" s="15"/>
      <c r="O17" s="64"/>
      <c r="P17" s="96"/>
      <c r="Q17" s="64"/>
      <c r="R17" s="13"/>
      <c r="S17" s="97"/>
      <c r="T17" s="64"/>
      <c r="U17" s="24"/>
      <c r="V17" s="24"/>
      <c r="W17" s="24"/>
      <c r="X17" s="24"/>
    </row>
    <row r="18" spans="1:24" s="99" customFormat="1" ht="20.100000000000001" customHeight="1">
      <c r="A18" s="1" t="s">
        <v>44</v>
      </c>
      <c r="B18" s="12" t="b">
        <v>0</v>
      </c>
      <c r="C18" s="15"/>
      <c r="D18" s="1"/>
      <c r="E18" s="17"/>
      <c r="F18" s="15"/>
      <c r="G18" s="53"/>
      <c r="H18" s="89"/>
      <c r="I18" s="90"/>
      <c r="J18" s="92"/>
      <c r="K18" s="278" t="s">
        <v>179</v>
      </c>
      <c r="L18" s="17"/>
      <c r="M18" s="17"/>
      <c r="N18" s="15"/>
      <c r="O18" s="64"/>
      <c r="P18" s="96"/>
      <c r="Q18" s="64"/>
      <c r="R18" s="13"/>
      <c r="S18" s="97"/>
      <c r="T18" s="64"/>
      <c r="U18" s="24"/>
      <c r="V18" s="24"/>
      <c r="W18" s="24"/>
      <c r="X18" s="24"/>
    </row>
    <row r="19" spans="1:24" s="99" customFormat="1" ht="20.100000000000001" customHeight="1">
      <c r="A19" s="1" t="s">
        <v>50</v>
      </c>
      <c r="B19" s="12">
        <v>10222585</v>
      </c>
      <c r="C19" s="15"/>
      <c r="D19" s="1"/>
      <c r="E19" s="17"/>
      <c r="F19" s="15"/>
      <c r="G19" s="53"/>
      <c r="H19" s="89"/>
      <c r="I19" s="90"/>
      <c r="J19" s="92"/>
      <c r="K19" s="279" t="s">
        <v>180</v>
      </c>
      <c r="L19" s="17"/>
      <c r="M19" s="17"/>
      <c r="N19" s="15"/>
      <c r="O19" s="64"/>
      <c r="P19" s="96"/>
      <c r="Q19" s="64"/>
      <c r="R19" s="13"/>
      <c r="S19" s="97"/>
      <c r="T19" s="64"/>
      <c r="U19" s="24"/>
      <c r="V19" s="24"/>
      <c r="W19" s="24"/>
      <c r="X19" s="24"/>
    </row>
    <row r="20" spans="1:24" s="99" customFormat="1" ht="20.100000000000001" customHeight="1">
      <c r="A20" s="1" t="s">
        <v>51</v>
      </c>
      <c r="B20" s="12">
        <v>16774635</v>
      </c>
      <c r="C20" s="15"/>
      <c r="D20" s="1"/>
      <c r="E20" s="17"/>
      <c r="F20" s="15"/>
      <c r="G20" s="53"/>
      <c r="H20" s="89"/>
      <c r="I20" s="90"/>
      <c r="J20" s="92"/>
      <c r="K20" s="280" t="s">
        <v>181</v>
      </c>
      <c r="L20" s="17"/>
      <c r="M20" s="17"/>
      <c r="N20" s="15"/>
      <c r="O20" s="64"/>
      <c r="P20" s="96"/>
      <c r="Q20" s="64"/>
      <c r="R20" s="13"/>
      <c r="S20" s="97"/>
      <c r="T20" s="64"/>
      <c r="U20" s="24"/>
      <c r="V20" s="24"/>
      <c r="W20" s="24"/>
      <c r="X20" s="24"/>
    </row>
    <row r="21" spans="1:24" s="99" customFormat="1" ht="20.100000000000001" customHeight="1">
      <c r="A21" s="1" t="s">
        <v>52</v>
      </c>
      <c r="B21" s="12">
        <v>16314622</v>
      </c>
      <c r="C21" s="15"/>
      <c r="D21" s="1"/>
      <c r="E21" s="17"/>
      <c r="F21" s="15"/>
      <c r="G21" s="53"/>
      <c r="H21" s="89"/>
      <c r="I21" s="90"/>
      <c r="J21" s="92"/>
      <c r="K21" s="280" t="s">
        <v>182</v>
      </c>
      <c r="L21" s="17"/>
      <c r="M21" s="17"/>
      <c r="N21" s="15"/>
      <c r="O21" s="64"/>
      <c r="P21" s="96"/>
      <c r="Q21" s="64"/>
      <c r="R21" s="13"/>
      <c r="S21" s="97"/>
      <c r="T21" s="64"/>
      <c r="U21" s="24"/>
      <c r="V21" s="24"/>
      <c r="W21" s="24"/>
      <c r="X21" s="24"/>
    </row>
    <row r="22" spans="1:24" s="99" customFormat="1" ht="20.100000000000001" customHeight="1">
      <c r="A22" s="1" t="s">
        <v>53</v>
      </c>
      <c r="B22" s="12">
        <v>14540253</v>
      </c>
      <c r="C22" s="15"/>
      <c r="D22" s="1"/>
      <c r="E22" s="17"/>
      <c r="F22" s="15"/>
      <c r="G22" s="53"/>
      <c r="H22" s="89"/>
      <c r="I22" s="90"/>
      <c r="J22" s="92"/>
      <c r="K22" s="280" t="s">
        <v>183</v>
      </c>
      <c r="L22" s="17"/>
      <c r="M22" s="17"/>
      <c r="N22" s="15"/>
      <c r="O22" s="64"/>
      <c r="P22" s="96"/>
      <c r="Q22" s="64"/>
      <c r="R22" s="13"/>
      <c r="S22" s="97"/>
      <c r="T22" s="64"/>
      <c r="U22" s="24"/>
      <c r="V22" s="24"/>
      <c r="W22" s="24"/>
      <c r="X22" s="24"/>
    </row>
    <row r="23" spans="1:24" s="99" customFormat="1" ht="20.100000000000001" customHeight="1">
      <c r="A23" s="1" t="s">
        <v>45</v>
      </c>
      <c r="B23" s="12">
        <v>6680933</v>
      </c>
      <c r="C23" s="15"/>
      <c r="D23" s="1"/>
      <c r="E23" s="17"/>
      <c r="F23" s="15"/>
      <c r="G23" s="53"/>
      <c r="H23" s="89"/>
      <c r="I23" s="90"/>
      <c r="J23" s="92"/>
      <c r="K23" s="281" t="s">
        <v>39</v>
      </c>
      <c r="L23" s="17"/>
      <c r="M23" s="17"/>
      <c r="N23" s="15"/>
      <c r="O23" s="64"/>
      <c r="P23" s="96"/>
      <c r="Q23" s="64"/>
      <c r="R23" s="13"/>
      <c r="S23" s="97"/>
      <c r="T23" s="64"/>
      <c r="U23" s="24"/>
      <c r="V23" s="24"/>
      <c r="W23" s="24"/>
      <c r="X23" s="24"/>
    </row>
    <row r="24" spans="1:24" s="99" customFormat="1" ht="20.100000000000001" customHeight="1">
      <c r="A24" s="1" t="s">
        <v>46</v>
      </c>
      <c r="B24" s="12">
        <v>10053375</v>
      </c>
      <c r="C24" s="15"/>
      <c r="D24" s="1"/>
      <c r="E24" s="17"/>
      <c r="F24" s="15"/>
      <c r="G24" s="53"/>
      <c r="H24" s="89"/>
      <c r="I24" s="90"/>
      <c r="J24" s="92"/>
      <c r="K24" s="282" t="s">
        <v>145</v>
      </c>
      <c r="L24" s="17"/>
      <c r="M24" s="17"/>
      <c r="N24" s="15"/>
      <c r="O24" s="64"/>
      <c r="P24" s="96"/>
      <c r="Q24" s="64"/>
      <c r="R24" s="13"/>
      <c r="S24" s="97"/>
      <c r="T24" s="64"/>
      <c r="U24" s="24"/>
      <c r="V24" s="24"/>
      <c r="W24" s="24"/>
      <c r="X24" s="24"/>
    </row>
    <row r="25" spans="1:24" s="99" customFormat="1" ht="20.100000000000001" customHeight="1">
      <c r="A25" s="222" t="s">
        <v>47</v>
      </c>
      <c r="B25" s="223">
        <v>255</v>
      </c>
      <c r="C25" s="15"/>
      <c r="D25" s="1"/>
      <c r="E25" s="17"/>
      <c r="F25" s="15"/>
      <c r="G25" s="53"/>
      <c r="H25" s="89"/>
      <c r="I25" s="90"/>
      <c r="J25" s="92"/>
      <c r="K25" s="283" t="s">
        <v>155</v>
      </c>
      <c r="L25" s="17"/>
      <c r="M25" s="17"/>
      <c r="N25" s="15"/>
      <c r="O25" s="64"/>
      <c r="P25" s="96"/>
      <c r="Q25" s="64"/>
      <c r="R25" s="13"/>
      <c r="S25" s="97"/>
      <c r="T25" s="64"/>
      <c r="U25" s="24"/>
      <c r="V25" s="24"/>
      <c r="W25" s="24"/>
      <c r="X25" s="24"/>
    </row>
    <row r="26" spans="1:24" s="99" customFormat="1" ht="20.100000000000001" customHeight="1">
      <c r="A26" s="222" t="s">
        <v>48</v>
      </c>
      <c r="B26" s="223">
        <v>16777215</v>
      </c>
      <c r="C26" s="15"/>
      <c r="D26" s="1"/>
      <c r="E26" s="17"/>
      <c r="F26" s="15"/>
      <c r="G26" s="53"/>
      <c r="H26" s="89"/>
      <c r="I26" s="90"/>
      <c r="J26" s="92"/>
      <c r="K26" s="284" t="s">
        <v>156</v>
      </c>
      <c r="L26" s="17"/>
      <c r="M26" s="17"/>
      <c r="N26" s="15"/>
      <c r="O26" s="64"/>
      <c r="P26" s="96"/>
      <c r="Q26" s="64"/>
      <c r="R26" s="13"/>
      <c r="S26" s="97"/>
      <c r="T26" s="64"/>
      <c r="U26" s="24"/>
      <c r="V26" s="24"/>
      <c r="W26" s="24"/>
      <c r="X26" s="24"/>
    </row>
    <row r="27" spans="1:24" s="99" customFormat="1" ht="20.100000000000001" customHeight="1">
      <c r="A27" s="222" t="s">
        <v>54</v>
      </c>
      <c r="B27" s="223">
        <v>16777215</v>
      </c>
      <c r="C27" s="15"/>
      <c r="D27" s="1"/>
      <c r="E27" s="17"/>
      <c r="F27" s="15"/>
      <c r="G27" s="53"/>
      <c r="H27" s="89"/>
      <c r="I27" s="90"/>
      <c r="J27" s="92"/>
      <c r="K27" s="284" t="s">
        <v>157</v>
      </c>
      <c r="L27" s="17"/>
      <c r="M27" s="17"/>
      <c r="N27" s="15"/>
      <c r="O27" s="64"/>
      <c r="P27" s="96"/>
      <c r="Q27" s="64"/>
      <c r="R27" s="13"/>
      <c r="S27" s="97"/>
      <c r="T27" s="64"/>
      <c r="U27" s="24"/>
      <c r="V27" s="24"/>
      <c r="W27" s="24"/>
      <c r="X27" s="24"/>
    </row>
    <row r="28" spans="1:24" s="99" customFormat="1" ht="20.100000000000001" customHeight="1">
      <c r="A28" s="222" t="s">
        <v>55</v>
      </c>
      <c r="B28" s="223">
        <v>16777215</v>
      </c>
      <c r="C28" s="15"/>
      <c r="D28" s="1"/>
      <c r="E28" s="17"/>
      <c r="F28" s="15"/>
      <c r="G28" s="53"/>
      <c r="H28" s="89"/>
      <c r="I28" s="90"/>
      <c r="J28" s="92"/>
      <c r="K28" s="284" t="s">
        <v>237</v>
      </c>
      <c r="L28" s="17"/>
      <c r="M28" s="17"/>
      <c r="N28" s="15"/>
      <c r="O28" s="64"/>
      <c r="P28" s="96"/>
      <c r="Q28" s="64"/>
      <c r="R28" s="13"/>
      <c r="S28" s="97"/>
      <c r="T28" s="64"/>
      <c r="U28" s="24"/>
      <c r="V28" s="24"/>
      <c r="W28" s="24"/>
      <c r="X28" s="24"/>
    </row>
    <row r="29" spans="1:24" s="99" customFormat="1" ht="20.100000000000001" customHeight="1">
      <c r="A29" s="222" t="s">
        <v>136</v>
      </c>
      <c r="B29" s="223" t="s">
        <v>74</v>
      </c>
      <c r="C29" s="15"/>
      <c r="D29" s="1"/>
      <c r="E29" s="17"/>
      <c r="F29" s="15"/>
      <c r="G29" s="53"/>
      <c r="H29" s="89"/>
      <c r="I29" s="90"/>
      <c r="J29" s="92"/>
      <c r="K29" s="284" t="s">
        <v>158</v>
      </c>
      <c r="L29" s="17"/>
      <c r="M29" s="17"/>
      <c r="N29" s="15"/>
      <c r="O29" s="64"/>
      <c r="P29" s="96"/>
      <c r="Q29" s="64"/>
      <c r="R29" s="13"/>
      <c r="S29" s="97"/>
      <c r="T29" s="64"/>
      <c r="U29" s="24"/>
      <c r="V29" s="24"/>
      <c r="W29" s="24"/>
      <c r="X29" s="24"/>
    </row>
    <row r="30" spans="1:24" s="99" customFormat="1" ht="20.100000000000001" customHeight="1">
      <c r="A30" s="222" t="s">
        <v>212</v>
      </c>
      <c r="B30" s="223" t="s">
        <v>217</v>
      </c>
      <c r="C30" s="15"/>
      <c r="D30" s="1"/>
      <c r="E30" s="17"/>
      <c r="F30" s="15"/>
      <c r="G30" s="53"/>
      <c r="H30" s="89"/>
      <c r="I30" s="90"/>
      <c r="J30" s="92"/>
      <c r="K30" s="284" t="s">
        <v>159</v>
      </c>
      <c r="L30" s="17"/>
      <c r="M30" s="17"/>
      <c r="N30" s="15"/>
      <c r="O30" s="64"/>
      <c r="P30" s="96"/>
      <c r="Q30" s="64"/>
      <c r="R30" s="13"/>
      <c r="S30" s="97"/>
      <c r="T30" s="64"/>
      <c r="U30" s="24"/>
      <c r="V30" s="24"/>
      <c r="W30" s="24"/>
      <c r="X30" s="24"/>
    </row>
    <row r="31" spans="1:24" s="99" customFormat="1" ht="20.100000000000001" customHeight="1">
      <c r="A31" s="1" t="s">
        <v>146</v>
      </c>
      <c r="B31" s="12" t="b">
        <v>0</v>
      </c>
      <c r="C31" s="15"/>
      <c r="D31" s="1"/>
      <c r="E31" s="17"/>
      <c r="F31" s="15"/>
      <c r="G31" s="53"/>
      <c r="H31" s="89"/>
      <c r="I31" s="90"/>
      <c r="J31" s="92"/>
      <c r="K31" s="284" t="s">
        <v>160</v>
      </c>
      <c r="L31" s="17"/>
      <c r="M31" s="17"/>
      <c r="N31" s="15"/>
      <c r="O31" s="64"/>
      <c r="P31" s="96"/>
      <c r="Q31" s="64"/>
      <c r="R31" s="13"/>
      <c r="S31" s="97"/>
      <c r="T31" s="64"/>
      <c r="U31" s="24"/>
      <c r="V31" s="24"/>
      <c r="W31" s="24"/>
      <c r="X31" s="24"/>
    </row>
    <row r="32" spans="1:24" s="99" customFormat="1" ht="20.100000000000001" customHeight="1">
      <c r="A32" s="1" t="s">
        <v>147</v>
      </c>
      <c r="B32" s="12" t="b">
        <v>0</v>
      </c>
      <c r="C32" s="15"/>
      <c r="D32" s="1"/>
      <c r="E32" s="17"/>
      <c r="F32" s="15"/>
      <c r="G32" s="53"/>
      <c r="H32" s="89"/>
      <c r="I32" s="90"/>
      <c r="J32" s="92"/>
      <c r="K32" s="284" t="s">
        <v>161</v>
      </c>
      <c r="L32" s="17"/>
      <c r="M32" s="17"/>
      <c r="N32" s="15"/>
      <c r="O32" s="64"/>
      <c r="P32" s="96"/>
      <c r="Q32" s="64"/>
      <c r="R32" s="13"/>
      <c r="S32" s="97"/>
      <c r="T32" s="64"/>
      <c r="U32" s="24"/>
      <c r="V32" s="24"/>
      <c r="W32" s="24"/>
      <c r="X32" s="24"/>
    </row>
    <row r="33" spans="1:24" s="99" customFormat="1" ht="20.100000000000001" customHeight="1">
      <c r="A33" s="1" t="s">
        <v>148</v>
      </c>
      <c r="B33" s="12" t="b">
        <v>0</v>
      </c>
      <c r="C33" s="15"/>
      <c r="D33" s="1"/>
      <c r="E33" s="17"/>
      <c r="F33" s="15"/>
      <c r="G33" s="53"/>
      <c r="H33" s="89"/>
      <c r="I33" s="90"/>
      <c r="J33" s="92"/>
      <c r="K33" s="284" t="s">
        <v>162</v>
      </c>
      <c r="L33" s="17"/>
      <c r="M33" s="17"/>
      <c r="N33" s="15"/>
      <c r="O33" s="64"/>
      <c r="P33" s="96"/>
      <c r="Q33" s="64"/>
      <c r="R33" s="13"/>
      <c r="S33" s="97"/>
      <c r="T33" s="64"/>
      <c r="U33" s="24"/>
      <c r="V33" s="24"/>
      <c r="W33" s="24"/>
      <c r="X33" s="24"/>
    </row>
    <row r="34" spans="1:24" s="99" customFormat="1" ht="20.100000000000001" customHeight="1">
      <c r="A34" s="1" t="s">
        <v>154</v>
      </c>
      <c r="B34" s="12" t="b">
        <v>0</v>
      </c>
      <c r="C34" s="15"/>
      <c r="D34" s="1"/>
      <c r="E34" s="17"/>
      <c r="F34" s="15"/>
      <c r="G34" s="53"/>
      <c r="H34" s="89"/>
      <c r="I34" s="90"/>
      <c r="J34" s="92"/>
      <c r="K34" s="286"/>
      <c r="L34" s="17"/>
      <c r="M34" s="17"/>
      <c r="N34" s="15"/>
      <c r="O34" s="64"/>
      <c r="P34" s="96"/>
      <c r="Q34" s="64"/>
      <c r="R34" s="13"/>
      <c r="S34" s="97"/>
      <c r="T34" s="64"/>
      <c r="U34" s="24"/>
      <c r="V34" s="24"/>
      <c r="W34" s="24"/>
      <c r="X34" s="24"/>
    </row>
    <row r="35" spans="1:24" s="99" customFormat="1" ht="20.100000000000001" customHeight="1">
      <c r="A35" s="1" t="s">
        <v>149</v>
      </c>
      <c r="B35" s="12" t="b">
        <v>0</v>
      </c>
      <c r="C35" s="15"/>
      <c r="D35" s="1"/>
      <c r="E35" s="17"/>
      <c r="F35" s="15"/>
      <c r="G35" s="53"/>
      <c r="H35" s="89"/>
      <c r="I35" s="90"/>
      <c r="J35" s="92"/>
      <c r="K35" s="286"/>
      <c r="L35" s="17"/>
      <c r="M35" s="17"/>
      <c r="N35" s="15"/>
      <c r="O35" s="64"/>
      <c r="P35" s="96"/>
      <c r="Q35" s="64"/>
      <c r="R35" s="13"/>
      <c r="S35" s="97"/>
      <c r="T35" s="64"/>
      <c r="U35" s="24"/>
      <c r="V35" s="24"/>
      <c r="W35" s="24"/>
      <c r="X35" s="24"/>
    </row>
    <row r="36" spans="1:24" s="99" customFormat="1" ht="20.100000000000001" customHeight="1">
      <c r="A36" s="1" t="s">
        <v>150</v>
      </c>
      <c r="B36" s="12" t="b">
        <v>1</v>
      </c>
      <c r="C36" s="15"/>
      <c r="D36" s="1"/>
      <c r="E36" s="17"/>
      <c r="F36" s="15"/>
      <c r="G36" s="53"/>
      <c r="H36" s="89"/>
      <c r="I36" s="90"/>
      <c r="J36" s="92"/>
      <c r="K36" s="286"/>
      <c r="L36" s="17"/>
      <c r="M36" s="17"/>
      <c r="N36" s="15"/>
      <c r="O36" s="64"/>
      <c r="P36" s="96"/>
      <c r="Q36" s="64"/>
      <c r="R36" s="13"/>
      <c r="S36" s="97"/>
      <c r="T36" s="64"/>
      <c r="U36" s="24"/>
      <c r="V36" s="24"/>
      <c r="W36" s="24"/>
      <c r="X36" s="24"/>
    </row>
    <row r="37" spans="1:24" ht="20.100000000000001" customHeight="1">
      <c r="A37" s="1" t="s">
        <v>151</v>
      </c>
      <c r="B37" s="12" t="b">
        <v>0</v>
      </c>
      <c r="D37" s="1"/>
      <c r="E37" s="17"/>
      <c r="F37" s="15"/>
      <c r="G37" s="53"/>
      <c r="H37" s="89"/>
      <c r="I37" s="90"/>
      <c r="K37" s="286"/>
      <c r="L37" s="17"/>
      <c r="M37" s="17"/>
      <c r="O37" s="64"/>
      <c r="Q37" s="64"/>
      <c r="R37" s="13"/>
      <c r="T37" s="64"/>
    </row>
    <row r="38" spans="1:24" ht="20.100000000000001" customHeight="1">
      <c r="A38" s="1" t="s">
        <v>152</v>
      </c>
      <c r="B38" s="12" t="b">
        <v>0</v>
      </c>
      <c r="D38" s="1"/>
      <c r="E38" s="17"/>
      <c r="F38" s="15"/>
      <c r="G38" s="53"/>
      <c r="H38" s="89"/>
      <c r="I38" s="90"/>
      <c r="K38" s="285"/>
      <c r="L38" s="17"/>
      <c r="M38" s="17"/>
      <c r="O38" s="64"/>
      <c r="Q38" s="64"/>
      <c r="R38" s="13"/>
      <c r="T38" s="64"/>
    </row>
    <row r="39" spans="1:24" ht="20.100000000000001" customHeight="1">
      <c r="A39" s="1" t="s">
        <v>153</v>
      </c>
      <c r="B39" s="12" t="b">
        <v>0</v>
      </c>
      <c r="K39" s="222"/>
    </row>
    <row r="40" spans="1:24" ht="20.100000000000001" customHeight="1">
      <c r="A40" s="1" t="s">
        <v>232</v>
      </c>
      <c r="B40" s="12" t="b">
        <v>0</v>
      </c>
      <c r="K40"/>
    </row>
    <row r="41" spans="1:24" ht="20.100000000000001" customHeight="1">
      <c r="A41" s="1" t="s">
        <v>219</v>
      </c>
      <c r="B41" s="12" t="b">
        <v>0</v>
      </c>
      <c r="K41"/>
    </row>
    <row r="42" spans="1:24" ht="20.100000000000001" customHeight="1">
      <c r="A42" s="222"/>
      <c r="B42" s="223"/>
      <c r="K42" s="4"/>
    </row>
    <row r="43" spans="1:24" ht="20.100000000000001" customHeight="1">
      <c r="A43" s="222"/>
      <c r="B43" s="223"/>
      <c r="K43" s="4"/>
    </row>
    <row r="44" spans="1:24" ht="20.100000000000001" customHeight="1">
      <c r="A44" s="222"/>
      <c r="B44" s="223"/>
      <c r="K44" s="4"/>
    </row>
    <row r="45" spans="1:24" ht="20.100000000000001" customHeight="1">
      <c r="A45" s="222"/>
      <c r="B45" s="223"/>
      <c r="K45" s="4"/>
    </row>
    <row r="46" spans="1:24" ht="20.100000000000001" customHeight="1">
      <c r="A46" s="222"/>
      <c r="B46" s="223"/>
      <c r="K46" s="4"/>
    </row>
    <row r="47" spans="1:24" ht="20.100000000000001" customHeight="1">
      <c r="A47" s="222"/>
      <c r="B47" s="223"/>
      <c r="K47" s="4"/>
    </row>
    <row r="48" spans="1:24" ht="20.100000000000001" customHeight="1">
      <c r="A48" s="222"/>
      <c r="B48" s="223"/>
      <c r="K48" s="4"/>
    </row>
    <row r="49" spans="1:11" ht="20.100000000000001" customHeight="1">
      <c r="A49" s="222"/>
      <c r="B49" s="223"/>
      <c r="K49" s="4"/>
    </row>
    <row r="50" spans="1:11" ht="20.100000000000001" customHeight="1">
      <c r="A50" s="222" t="s">
        <v>132</v>
      </c>
      <c r="B50" s="223" t="s">
        <v>190</v>
      </c>
      <c r="K50" s="4"/>
    </row>
    <row r="51" spans="1:11" ht="20.100000000000001" customHeight="1">
      <c r="A51" s="222" t="s">
        <v>133</v>
      </c>
      <c r="B51" s="223" t="s">
        <v>191</v>
      </c>
      <c r="K51" s="4"/>
    </row>
    <row r="52" spans="1:11" ht="20.100000000000001" customHeight="1">
      <c r="A52" s="222" t="s">
        <v>138</v>
      </c>
      <c r="B52" s="223" t="s">
        <v>192</v>
      </c>
      <c r="K52" s="4"/>
    </row>
    <row r="53" spans="1:11" ht="20.100000000000001" customHeight="1">
      <c r="A53" s="1" t="s">
        <v>134</v>
      </c>
      <c r="B53" s="12" t="s">
        <v>193</v>
      </c>
      <c r="K53" s="4"/>
    </row>
    <row r="54" spans="1:11" ht="20.100000000000001" customHeight="1">
      <c r="A54" s="1" t="s">
        <v>135</v>
      </c>
      <c r="B54" s="12" t="s">
        <v>194</v>
      </c>
      <c r="K54" s="4"/>
    </row>
    <row r="55" spans="1:11" ht="20.100000000000001" customHeight="1">
      <c r="A55" s="1" t="s">
        <v>243</v>
      </c>
      <c r="B55" s="12" t="s">
        <v>195</v>
      </c>
      <c r="K55" s="4"/>
    </row>
    <row r="56" spans="1:11" ht="20.100000000000001" customHeight="1">
      <c r="A56" s="1" t="s">
        <v>128</v>
      </c>
      <c r="B56" s="12" t="s">
        <v>196</v>
      </c>
      <c r="K56" s="4"/>
    </row>
    <row r="57" spans="1:11" ht="20.100000000000001" customHeight="1">
      <c r="A57" s="1" t="s">
        <v>129</v>
      </c>
      <c r="B57" s="12" t="s">
        <v>197</v>
      </c>
      <c r="K57" s="4"/>
    </row>
    <row r="58" spans="1:11" ht="20.100000000000001" customHeight="1">
      <c r="A58" s="1" t="s">
        <v>144</v>
      </c>
      <c r="B58" s="12" t="s">
        <v>198</v>
      </c>
      <c r="K58" s="4"/>
    </row>
    <row r="59" spans="1:11" ht="20.100000000000001" customHeight="1">
      <c r="A59" s="1" t="s">
        <v>199</v>
      </c>
      <c r="B59" s="12" t="s">
        <v>200</v>
      </c>
      <c r="K59" s="4"/>
    </row>
    <row r="60" spans="1:11" ht="20.100000000000001" customHeight="1">
      <c r="A60" s="1" t="s">
        <v>201</v>
      </c>
      <c r="B60" s="12" t="s">
        <v>202</v>
      </c>
      <c r="K60" s="4"/>
    </row>
    <row r="61" spans="1:11" ht="20.100000000000001" customHeight="1">
      <c r="A61" s="1" t="s">
        <v>203</v>
      </c>
      <c r="B61" s="12" t="s">
        <v>204</v>
      </c>
      <c r="K61" s="4"/>
    </row>
    <row r="62" spans="1:11" ht="20.100000000000001" customHeight="1">
      <c r="A62" s="1" t="s">
        <v>205</v>
      </c>
      <c r="B62" s="12" t="s">
        <v>206</v>
      </c>
      <c r="K62" s="4"/>
    </row>
    <row r="63" spans="1:11" ht="20.100000000000001" customHeight="1">
      <c r="A63" s="1" t="s">
        <v>126</v>
      </c>
      <c r="B63" s="12" t="s">
        <v>207</v>
      </c>
      <c r="K63" s="4"/>
    </row>
    <row r="64" spans="1:11" ht="20.100000000000001" customHeight="1">
      <c r="A64" s="1" t="s">
        <v>188</v>
      </c>
      <c r="B64" s="12" t="s">
        <v>142</v>
      </c>
      <c r="K64" s="4"/>
    </row>
    <row r="65" spans="1:11" ht="20.100000000000001" customHeight="1">
      <c r="A65" s="1"/>
      <c r="B65" s="12"/>
      <c r="K65" s="4"/>
    </row>
    <row r="66" spans="1:11" ht="20.100000000000001" customHeight="1">
      <c r="A66" s="1"/>
      <c r="B66" s="12"/>
      <c r="K66" s="4"/>
    </row>
    <row r="67" spans="1:11" ht="20.100000000000001" customHeight="1">
      <c r="A67" s="1"/>
      <c r="B67" s="12"/>
      <c r="K67" s="4"/>
    </row>
    <row r="68" spans="1:11" ht="20.100000000000001" customHeight="1">
      <c r="A68" s="1"/>
      <c r="B68" s="12"/>
      <c r="K68" s="4"/>
    </row>
    <row r="69" spans="1:11" ht="20.100000000000001" customHeight="1">
      <c r="A69" s="1"/>
      <c r="B69" s="12"/>
      <c r="K69" s="4"/>
    </row>
    <row r="70" spans="1:11" ht="20.100000000000001" customHeight="1">
      <c r="A70" s="1"/>
      <c r="B70" s="12"/>
      <c r="K70" s="4"/>
    </row>
    <row r="71" spans="1:11" ht="20.100000000000001" customHeight="1">
      <c r="A71" s="1"/>
      <c r="B71" s="12"/>
      <c r="K71" s="4"/>
    </row>
    <row r="72" spans="1:11" ht="20.100000000000001" customHeight="1">
      <c r="A72" s="1"/>
      <c r="B72" s="12"/>
      <c r="K72" s="4"/>
    </row>
    <row r="73" spans="1:11" ht="20.100000000000001" customHeight="1">
      <c r="A73" s="1"/>
      <c r="B73" s="12"/>
      <c r="K73" s="4"/>
    </row>
    <row r="74" spans="1:11" ht="20.100000000000001" customHeight="1">
      <c r="A74" s="1"/>
      <c r="B74" s="12"/>
      <c r="K74" s="4"/>
    </row>
    <row r="75" spans="1:11" ht="20.100000000000001" customHeight="1">
      <c r="A75" s="1"/>
      <c r="B75" s="12"/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  <c r="K78" s="4"/>
    </row>
    <row r="79" spans="1:11" ht="20.100000000000001" customHeight="1">
      <c r="A79" s="1"/>
      <c r="B79" s="12"/>
      <c r="K79" s="4"/>
    </row>
    <row r="80" spans="1:11" ht="20.100000000000001" customHeight="1">
      <c r="A80" s="1"/>
      <c r="B80" s="12"/>
      <c r="K80" s="4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12:B13 B18 B31:B41">
      <formula1>"TRUE,FALSE"</formula1>
    </dataValidation>
    <dataValidation type="list" allowBlank="1" showInputMessage="1" showErrorMessage="1" sqref="B4">
      <formula1>"default,CD部用"</formula1>
    </dataValidation>
    <dataValidation type="list" allowBlank="1" showInputMessage="1" showErrorMessage="1" sqref="B17">
      <formula1>"Type1,Type2"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AY15"/>
  <sheetViews>
    <sheetView showGridLines="0" tabSelected="1" zoomScale="85" zoomScaleNormal="85" workbookViewId="0">
      <pane xSplit="18" ySplit="5" topLeftCell="S6" activePane="bottomRight" state="frozen"/>
      <selection pane="topRight" activeCell="S1" sqref="S1"/>
      <selection pane="bottomLeft" activeCell="A6" sqref="A6"/>
      <selection pane="bottomRight" activeCell="D21" sqref="D21"/>
    </sheetView>
  </sheetViews>
  <sheetFormatPr defaultColWidth="3.125" defaultRowHeight="20.100000000000001" customHeight="1"/>
  <cols>
    <col min="1" max="1" width="4.625" style="22" customWidth="1"/>
    <col min="2" max="3" width="3.625" style="22" customWidth="1"/>
    <col min="4" max="4" width="40.625" style="22" customWidth="1"/>
    <col min="5" max="6" width="6.625" style="29" customWidth="1"/>
    <col min="7" max="7" width="10.625" style="23" customWidth="1"/>
    <col min="8" max="9" width="6.625" style="29" customWidth="1"/>
    <col min="10" max="11" width="6.625" style="30" customWidth="1"/>
    <col min="12" max="12" width="10.625" style="86" customWidth="1"/>
    <col min="13" max="13" width="8.625" style="23" hidden="1" customWidth="1"/>
    <col min="14" max="14" width="8.625" style="122" hidden="1" customWidth="1"/>
    <col min="15" max="16" width="7.625" style="61" customWidth="1"/>
    <col min="17" max="17" width="10.625" style="62" customWidth="1"/>
    <col min="18" max="18" width="40.625" style="22" customWidth="1"/>
    <col min="19" max="19" width="3.125" style="19" customWidth="1"/>
    <col min="20" max="27" width="3.125" style="19"/>
    <col min="28" max="49" width="3.125" style="19" customWidth="1"/>
    <col min="50" max="16384" width="3.125" style="19"/>
  </cols>
  <sheetData>
    <row r="1" spans="1:51" ht="20.100000000000001" customHeight="1">
      <c r="A1" s="83"/>
      <c r="B1" s="43"/>
      <c r="C1" s="43"/>
      <c r="D1" s="43"/>
      <c r="E1" s="25"/>
      <c r="F1" s="84"/>
      <c r="G1" s="43"/>
      <c r="H1" s="84"/>
      <c r="I1" s="84"/>
      <c r="J1" s="85"/>
      <c r="K1" s="87"/>
      <c r="L1" s="102"/>
      <c r="M1" s="43"/>
      <c r="N1" s="121"/>
      <c r="O1" s="46"/>
      <c r="P1" s="46"/>
      <c r="Q1" s="49"/>
      <c r="R1" s="57"/>
    </row>
    <row r="2" spans="1:51" ht="20.100000000000001" customHeight="1">
      <c r="A2" s="252" t="s">
        <v>57</v>
      </c>
      <c r="B2" s="252" t="s">
        <v>0</v>
      </c>
      <c r="C2" s="254" t="s">
        <v>137</v>
      </c>
      <c r="D2" s="253" t="s">
        <v>56</v>
      </c>
      <c r="E2" s="123" t="s">
        <v>2</v>
      </c>
      <c r="F2" s="124"/>
      <c r="G2" s="231" t="s">
        <v>1</v>
      </c>
      <c r="H2" s="123" t="s">
        <v>29</v>
      </c>
      <c r="I2" s="124"/>
      <c r="J2" s="125" t="s">
        <v>36</v>
      </c>
      <c r="K2" s="126"/>
      <c r="L2" s="253" t="s">
        <v>127</v>
      </c>
      <c r="M2" s="137" t="s">
        <v>139</v>
      </c>
      <c r="N2" s="128"/>
      <c r="O2" s="127" t="s">
        <v>30</v>
      </c>
      <c r="P2" s="129"/>
      <c r="Q2" s="248" t="s">
        <v>41</v>
      </c>
      <c r="R2" s="250" t="s">
        <v>31</v>
      </c>
    </row>
    <row r="3" spans="1:51" s="32" customFormat="1" ht="20.100000000000001" customHeight="1">
      <c r="A3" s="252"/>
      <c r="B3" s="252"/>
      <c r="C3" s="254"/>
      <c r="D3" s="253"/>
      <c r="E3" s="130" t="s">
        <v>4</v>
      </c>
      <c r="F3" s="131" t="s">
        <v>5</v>
      </c>
      <c r="G3" s="163"/>
      <c r="H3" s="130" t="s">
        <v>32</v>
      </c>
      <c r="I3" s="131" t="s">
        <v>33</v>
      </c>
      <c r="J3" s="132" t="s">
        <v>37</v>
      </c>
      <c r="K3" s="133" t="s">
        <v>38</v>
      </c>
      <c r="L3" s="253"/>
      <c r="M3" s="138" t="s">
        <v>140</v>
      </c>
      <c r="N3" s="135" t="s">
        <v>141</v>
      </c>
      <c r="O3" s="134" t="s">
        <v>34</v>
      </c>
      <c r="P3" s="136" t="s">
        <v>35</v>
      </c>
      <c r="Q3" s="249"/>
      <c r="R3" s="251"/>
      <c r="S3" s="242">
        <v>44075</v>
      </c>
      <c r="T3" s="243"/>
      <c r="U3" s="243"/>
      <c r="V3" s="243"/>
      <c r="W3" s="243"/>
      <c r="X3" s="243"/>
      <c r="Y3" s="243"/>
      <c r="Z3" s="243"/>
      <c r="AA3" s="243"/>
      <c r="AB3" s="243"/>
      <c r="AC3" s="243"/>
      <c r="AD3" s="243"/>
      <c r="AE3" s="243"/>
      <c r="AF3" s="243"/>
      <c r="AG3" s="243"/>
      <c r="AH3" s="243"/>
      <c r="AI3" s="243"/>
      <c r="AJ3" s="243"/>
      <c r="AK3" s="243"/>
      <c r="AL3" s="243"/>
      <c r="AM3" s="243"/>
      <c r="AN3" s="243"/>
      <c r="AO3" s="243"/>
      <c r="AP3" s="243"/>
      <c r="AQ3" s="243"/>
      <c r="AR3" s="243"/>
      <c r="AS3" s="243"/>
      <c r="AT3" s="243"/>
      <c r="AU3" s="243"/>
      <c r="AV3" s="234"/>
      <c r="AW3" s="244">
        <v>44105</v>
      </c>
      <c r="AX3" s="243"/>
      <c r="AY3" s="271"/>
    </row>
    <row r="4" spans="1:51" s="33" customFormat="1" ht="20.100000000000001" customHeight="1">
      <c r="A4" s="20"/>
      <c r="B4" s="20"/>
      <c r="C4" s="103"/>
      <c r="D4" s="224"/>
      <c r="E4" s="27"/>
      <c r="F4" s="116"/>
      <c r="G4" s="225"/>
      <c r="H4" s="27"/>
      <c r="I4" s="116"/>
      <c r="J4" s="31"/>
      <c r="K4" s="117"/>
      <c r="L4" s="115"/>
      <c r="M4" s="139"/>
      <c r="N4" s="119"/>
      <c r="O4" s="40"/>
      <c r="P4" s="118"/>
      <c r="Q4" s="41"/>
      <c r="R4" s="63"/>
      <c r="S4" s="114">
        <v>44075</v>
      </c>
      <c r="T4" s="80">
        <v>44076</v>
      </c>
      <c r="U4" s="80">
        <v>44077</v>
      </c>
      <c r="V4" s="80">
        <v>44078</v>
      </c>
      <c r="W4" s="81">
        <v>44079</v>
      </c>
      <c r="X4" s="79">
        <v>44080</v>
      </c>
      <c r="Y4" s="80">
        <v>44081</v>
      </c>
      <c r="Z4" s="80">
        <v>44082</v>
      </c>
      <c r="AA4" s="80">
        <v>44083</v>
      </c>
      <c r="AB4" s="80">
        <v>44084</v>
      </c>
      <c r="AC4" s="80">
        <v>44085</v>
      </c>
      <c r="AD4" s="81">
        <v>44086</v>
      </c>
      <c r="AE4" s="79">
        <v>44087</v>
      </c>
      <c r="AF4" s="80">
        <v>44088</v>
      </c>
      <c r="AG4" s="80">
        <v>44089</v>
      </c>
      <c r="AH4" s="80">
        <v>44090</v>
      </c>
      <c r="AI4" s="80">
        <v>44091</v>
      </c>
      <c r="AJ4" s="80">
        <v>44092</v>
      </c>
      <c r="AK4" s="81">
        <v>44093</v>
      </c>
      <c r="AL4" s="79">
        <v>44094</v>
      </c>
      <c r="AM4" s="79">
        <v>44095</v>
      </c>
      <c r="AN4" s="79">
        <v>44096</v>
      </c>
      <c r="AO4" s="80">
        <v>44097</v>
      </c>
      <c r="AP4" s="80">
        <v>44098</v>
      </c>
      <c r="AQ4" s="80">
        <v>44099</v>
      </c>
      <c r="AR4" s="81">
        <v>44100</v>
      </c>
      <c r="AS4" s="79">
        <v>44101</v>
      </c>
      <c r="AT4" s="80">
        <v>44102</v>
      </c>
      <c r="AU4" s="80">
        <v>44103</v>
      </c>
      <c r="AV4" s="80">
        <v>44104</v>
      </c>
      <c r="AW4" s="82">
        <v>44105</v>
      </c>
      <c r="AX4" s="80">
        <v>44106</v>
      </c>
      <c r="AY4" s="272">
        <v>44107</v>
      </c>
    </row>
    <row r="5" spans="1:51" ht="35.1" customHeight="1">
      <c r="A5" s="246" t="s">
        <v>26</v>
      </c>
      <c r="B5" s="246"/>
      <c r="C5" s="246"/>
      <c r="D5" s="247"/>
      <c r="E5" s="45"/>
      <c r="F5" s="45"/>
      <c r="G5" s="45"/>
      <c r="H5" s="45"/>
      <c r="I5" s="45"/>
      <c r="J5" s="226"/>
      <c r="K5" s="226"/>
      <c r="L5" s="45"/>
      <c r="M5" s="45"/>
      <c r="N5" s="120"/>
      <c r="O5" s="48"/>
      <c r="P5" s="48"/>
      <c r="Q5" s="227"/>
      <c r="R5" s="45"/>
      <c r="S5" s="114"/>
      <c r="T5" s="80"/>
      <c r="U5" s="80"/>
      <c r="V5" s="80"/>
      <c r="W5" s="81"/>
      <c r="X5" s="79"/>
      <c r="Y5" s="80"/>
      <c r="Z5" s="80"/>
      <c r="AA5" s="80"/>
      <c r="AB5" s="80"/>
      <c r="AC5" s="80"/>
      <c r="AD5" s="81"/>
      <c r="AE5" s="79"/>
      <c r="AF5" s="80"/>
      <c r="AG5" s="80"/>
      <c r="AH5" s="80"/>
      <c r="AI5" s="80"/>
      <c r="AJ5" s="80"/>
      <c r="AK5" s="81"/>
      <c r="AL5" s="79"/>
      <c r="AM5" s="79"/>
      <c r="AN5" s="79"/>
      <c r="AO5" s="80"/>
      <c r="AP5" s="80"/>
      <c r="AQ5" s="80"/>
      <c r="AR5" s="81"/>
      <c r="AS5" s="79"/>
      <c r="AT5" s="80"/>
      <c r="AU5" s="80"/>
      <c r="AV5" s="80"/>
      <c r="AW5" s="82"/>
      <c r="AX5" s="80"/>
      <c r="AY5" s="272"/>
    </row>
    <row r="6" spans="1:51" s="33" customFormat="1" ht="20.100000000000001" customHeight="1">
      <c r="A6" s="20">
        <f>ROW()-5</f>
        <v>1</v>
      </c>
      <c r="B6" s="20">
        <f ca="1">getIndentLevel($D$6)</f>
        <v>1</v>
      </c>
      <c r="C6" s="103"/>
      <c r="D6" s="224" t="s">
        <v>100</v>
      </c>
      <c r="E6" s="27">
        <v>44075</v>
      </c>
      <c r="F6" s="116">
        <v>44092</v>
      </c>
      <c r="G6" s="225" t="s">
        <v>40</v>
      </c>
      <c r="H6" s="27"/>
      <c r="I6" s="116"/>
      <c r="J6" s="31"/>
      <c r="K6" s="117"/>
      <c r="L6" s="115"/>
      <c r="M6" s="139"/>
      <c r="N6" s="119" t="s">
        <v>213</v>
      </c>
      <c r="O6" s="40">
        <f>14</f>
        <v>14</v>
      </c>
      <c r="P6" s="118">
        <f>5</f>
        <v>5</v>
      </c>
      <c r="Q6" s="41">
        <v>-7</v>
      </c>
      <c r="R6" s="63"/>
      <c r="S6" s="114"/>
      <c r="T6" s="80"/>
      <c r="U6" s="80"/>
      <c r="V6" s="80"/>
      <c r="W6" s="81"/>
      <c r="X6" s="79"/>
      <c r="Y6" s="80"/>
      <c r="Z6" s="80"/>
      <c r="AA6" s="80"/>
      <c r="AB6" s="80"/>
      <c r="AC6" s="80"/>
      <c r="AD6" s="81"/>
      <c r="AE6" s="79"/>
      <c r="AF6" s="80"/>
      <c r="AG6" s="80"/>
      <c r="AH6" s="80"/>
      <c r="AI6" s="80"/>
      <c r="AJ6" s="80"/>
      <c r="AK6" s="81"/>
      <c r="AL6" s="79"/>
      <c r="AM6" s="79"/>
      <c r="AN6" s="79"/>
      <c r="AO6" s="80"/>
      <c r="AP6" s="80"/>
      <c r="AQ6" s="80"/>
      <c r="AR6" s="81"/>
      <c r="AS6" s="79"/>
      <c r="AT6" s="80"/>
      <c r="AU6" s="80"/>
      <c r="AV6" s="80"/>
      <c r="AW6" s="82"/>
      <c r="AX6" s="80"/>
      <c r="AY6" s="272"/>
    </row>
    <row r="7" spans="1:51" s="33" customFormat="1" ht="20.100000000000001" customHeight="1">
      <c r="A7" s="20">
        <f>ROW()-5</f>
        <v>2</v>
      </c>
      <c r="B7" s="20">
        <f ca="1">getIndentLevel($D$7)</f>
        <v>2</v>
      </c>
      <c r="C7" s="103"/>
      <c r="D7" s="228" t="s">
        <v>101</v>
      </c>
      <c r="E7" s="27">
        <v>44076</v>
      </c>
      <c r="F7" s="116">
        <v>44083</v>
      </c>
      <c r="G7" s="225" t="s">
        <v>40</v>
      </c>
      <c r="H7" s="27"/>
      <c r="I7" s="116"/>
      <c r="J7" s="31"/>
      <c r="K7" s="117"/>
      <c r="L7" s="115"/>
      <c r="M7" s="139">
        <v>6</v>
      </c>
      <c r="N7" s="119" t="s">
        <v>143</v>
      </c>
      <c r="O7" s="40">
        <f>6</f>
        <v>6</v>
      </c>
      <c r="P7" s="118">
        <f>5</f>
        <v>5</v>
      </c>
      <c r="Q7" s="41">
        <v>-7</v>
      </c>
      <c r="R7" s="63"/>
      <c r="S7" s="114"/>
      <c r="T7" s="80"/>
      <c r="U7" s="80"/>
      <c r="V7" s="80"/>
      <c r="W7" s="81"/>
      <c r="X7" s="79"/>
      <c r="Y7" s="80"/>
      <c r="Z7" s="80"/>
      <c r="AA7" s="80"/>
      <c r="AB7" s="80"/>
      <c r="AC7" s="80"/>
      <c r="AD7" s="81"/>
      <c r="AE7" s="79"/>
      <c r="AF7" s="80"/>
      <c r="AG7" s="80"/>
      <c r="AH7" s="80"/>
      <c r="AI7" s="80"/>
      <c r="AJ7" s="80"/>
      <c r="AK7" s="81"/>
      <c r="AL7" s="79"/>
      <c r="AM7" s="79"/>
      <c r="AN7" s="79"/>
      <c r="AO7" s="80"/>
      <c r="AP7" s="80"/>
      <c r="AQ7" s="80"/>
      <c r="AR7" s="81"/>
      <c r="AS7" s="79"/>
      <c r="AT7" s="80"/>
      <c r="AU7" s="80"/>
      <c r="AV7" s="80"/>
      <c r="AW7" s="82"/>
      <c r="AX7" s="80"/>
      <c r="AY7" s="272"/>
    </row>
    <row r="8" spans="1:51" s="33" customFormat="1" ht="20.100000000000001" customHeight="1">
      <c r="A8" s="20">
        <f>ROW()-5</f>
        <v>3</v>
      </c>
      <c r="B8" s="20">
        <f ca="1">getIndentLevel($D$8)</f>
        <v>3</v>
      </c>
      <c r="C8" s="103" t="s">
        <v>220</v>
      </c>
      <c r="D8" s="229" t="s">
        <v>221</v>
      </c>
      <c r="E8" s="27">
        <v>44076</v>
      </c>
      <c r="F8" s="116">
        <v>44077</v>
      </c>
      <c r="G8" s="225" t="s">
        <v>242</v>
      </c>
      <c r="H8" s="27"/>
      <c r="I8" s="116"/>
      <c r="J8" s="31"/>
      <c r="K8" s="117">
        <f>0</f>
        <v>0</v>
      </c>
      <c r="L8" s="115"/>
      <c r="M8" s="139">
        <v>7</v>
      </c>
      <c r="N8" s="119"/>
      <c r="O8" s="40">
        <f>4</f>
        <v>4</v>
      </c>
      <c r="P8" s="118">
        <f>4</f>
        <v>4</v>
      </c>
      <c r="Q8" s="41">
        <v>-4</v>
      </c>
      <c r="R8" s="63"/>
      <c r="S8" s="114"/>
      <c r="T8" s="80"/>
      <c r="U8" s="80"/>
      <c r="V8" s="80"/>
      <c r="W8" s="81"/>
      <c r="X8" s="79"/>
      <c r="Y8" s="80"/>
      <c r="Z8" s="80"/>
      <c r="AA8" s="80"/>
      <c r="AB8" s="80"/>
      <c r="AC8" s="80"/>
      <c r="AD8" s="81"/>
      <c r="AE8" s="79"/>
      <c r="AF8" s="80"/>
      <c r="AG8" s="80"/>
      <c r="AH8" s="80"/>
      <c r="AI8" s="80"/>
      <c r="AJ8" s="80"/>
      <c r="AK8" s="81"/>
      <c r="AL8" s="79"/>
      <c r="AM8" s="79"/>
      <c r="AN8" s="79"/>
      <c r="AO8" s="80"/>
      <c r="AP8" s="80"/>
      <c r="AQ8" s="80"/>
      <c r="AR8" s="81"/>
      <c r="AS8" s="79"/>
      <c r="AT8" s="80"/>
      <c r="AU8" s="80"/>
      <c r="AV8" s="80"/>
      <c r="AW8" s="82"/>
      <c r="AX8" s="80"/>
      <c r="AY8" s="272"/>
    </row>
    <row r="9" spans="1:51" s="33" customFormat="1" ht="20.100000000000001" customHeight="1">
      <c r="A9" s="20">
        <f>ROW()-5</f>
        <v>4</v>
      </c>
      <c r="B9" s="20">
        <f ca="1">getIndentLevel($D$9)</f>
        <v>3</v>
      </c>
      <c r="C9" s="103" t="s">
        <v>231</v>
      </c>
      <c r="D9" s="229" t="s">
        <v>222</v>
      </c>
      <c r="E9" s="27">
        <v>44078</v>
      </c>
      <c r="F9" s="116">
        <v>44081</v>
      </c>
      <c r="G9" s="225" t="s">
        <v>164</v>
      </c>
      <c r="H9" s="27"/>
      <c r="I9" s="116"/>
      <c r="J9" s="31"/>
      <c r="K9" s="117">
        <f>0</f>
        <v>0</v>
      </c>
      <c r="L9" s="115"/>
      <c r="M9" s="139">
        <v>7</v>
      </c>
      <c r="N9" s="119"/>
      <c r="O9" s="40">
        <f>2</f>
        <v>2</v>
      </c>
      <c r="P9" s="118">
        <f>2</f>
        <v>2</v>
      </c>
      <c r="Q9" s="41">
        <v>-2</v>
      </c>
      <c r="R9" s="63"/>
      <c r="S9" s="114"/>
      <c r="T9" s="80"/>
      <c r="U9" s="80"/>
      <c r="V9" s="80"/>
      <c r="W9" s="81"/>
      <c r="X9" s="79"/>
      <c r="Y9" s="80"/>
      <c r="Z9" s="80"/>
      <c r="AA9" s="80"/>
      <c r="AB9" s="80"/>
      <c r="AC9" s="80"/>
      <c r="AD9" s="81"/>
      <c r="AE9" s="79"/>
      <c r="AF9" s="80"/>
      <c r="AG9" s="80"/>
      <c r="AH9" s="80"/>
      <c r="AI9" s="80"/>
      <c r="AJ9" s="80"/>
      <c r="AK9" s="81"/>
      <c r="AL9" s="79"/>
      <c r="AM9" s="79"/>
      <c r="AN9" s="79"/>
      <c r="AO9" s="80"/>
      <c r="AP9" s="80"/>
      <c r="AQ9" s="80"/>
      <c r="AR9" s="81"/>
      <c r="AS9" s="79"/>
      <c r="AT9" s="80"/>
      <c r="AU9" s="80"/>
      <c r="AV9" s="80"/>
      <c r="AW9" s="82"/>
      <c r="AX9" s="80"/>
      <c r="AY9" s="272"/>
    </row>
    <row r="10" spans="1:51" s="33" customFormat="1" ht="20.100000000000001" customHeight="1">
      <c r="A10" s="20">
        <f>ROW()-5</f>
        <v>5</v>
      </c>
      <c r="B10" s="20">
        <f ca="1">getIndentLevel($D$10)</f>
        <v>3</v>
      </c>
      <c r="C10" s="103" t="s">
        <v>220</v>
      </c>
      <c r="D10" s="229" t="s">
        <v>223</v>
      </c>
      <c r="E10" s="27">
        <v>44081</v>
      </c>
      <c r="F10" s="116">
        <v>44083</v>
      </c>
      <c r="G10" s="225" t="s">
        <v>168</v>
      </c>
      <c r="H10" s="27"/>
      <c r="I10" s="116"/>
      <c r="J10" s="31"/>
      <c r="K10" s="117">
        <f>0</f>
        <v>0</v>
      </c>
      <c r="L10" s="115"/>
      <c r="M10" s="139">
        <v>7</v>
      </c>
      <c r="N10" s="119"/>
      <c r="O10" s="40">
        <f>3</f>
        <v>3</v>
      </c>
      <c r="P10" s="118">
        <f>1</f>
        <v>1</v>
      </c>
      <c r="Q10" s="41">
        <v>-1</v>
      </c>
      <c r="R10" s="63"/>
      <c r="S10" s="114"/>
      <c r="T10" s="80"/>
      <c r="U10" s="80"/>
      <c r="V10" s="80"/>
      <c r="W10" s="81"/>
      <c r="X10" s="79"/>
      <c r="Y10" s="80"/>
      <c r="Z10" s="80"/>
      <c r="AA10" s="80"/>
      <c r="AB10" s="80"/>
      <c r="AC10" s="80"/>
      <c r="AD10" s="81"/>
      <c r="AE10" s="79"/>
      <c r="AF10" s="80"/>
      <c r="AG10" s="80"/>
      <c r="AH10" s="80"/>
      <c r="AI10" s="80"/>
      <c r="AJ10" s="80"/>
      <c r="AK10" s="81"/>
      <c r="AL10" s="79"/>
      <c r="AM10" s="79"/>
      <c r="AN10" s="79"/>
      <c r="AO10" s="80"/>
      <c r="AP10" s="80"/>
      <c r="AQ10" s="80"/>
      <c r="AR10" s="81"/>
      <c r="AS10" s="79"/>
      <c r="AT10" s="80"/>
      <c r="AU10" s="80"/>
      <c r="AV10" s="80"/>
      <c r="AW10" s="82"/>
      <c r="AX10" s="80"/>
      <c r="AY10" s="272"/>
    </row>
    <row r="11" spans="1:51" s="33" customFormat="1" ht="20.100000000000001" customHeight="1">
      <c r="A11" s="20">
        <f>ROW()-5</f>
        <v>6</v>
      </c>
      <c r="B11" s="20">
        <f ca="1">getIndentLevel($D$11)</f>
        <v>2</v>
      </c>
      <c r="C11" s="103"/>
      <c r="D11" s="228" t="s">
        <v>94</v>
      </c>
      <c r="E11" s="27">
        <v>44084</v>
      </c>
      <c r="F11" s="116">
        <v>44092</v>
      </c>
      <c r="G11" s="225" t="s">
        <v>40</v>
      </c>
      <c r="H11" s="27"/>
      <c r="I11" s="116"/>
      <c r="J11" s="31"/>
      <c r="K11" s="117"/>
      <c r="L11" s="115"/>
      <c r="M11" s="139">
        <v>7</v>
      </c>
      <c r="N11" s="119" t="s">
        <v>214</v>
      </c>
      <c r="O11" s="40">
        <f>7</f>
        <v>7</v>
      </c>
      <c r="P11" s="118">
        <f>4</f>
        <v>4</v>
      </c>
      <c r="Q11" s="41">
        <v>0</v>
      </c>
      <c r="R11" s="63"/>
      <c r="S11" s="114"/>
      <c r="T11" s="80"/>
      <c r="U11" s="80"/>
      <c r="V11" s="80"/>
      <c r="W11" s="81"/>
      <c r="X11" s="79"/>
      <c r="Y11" s="80"/>
      <c r="Z11" s="80"/>
      <c r="AA11" s="80"/>
      <c r="AB11" s="80"/>
      <c r="AC11" s="80"/>
      <c r="AD11" s="81"/>
      <c r="AE11" s="79"/>
      <c r="AF11" s="80"/>
      <c r="AG11" s="80"/>
      <c r="AH11" s="80"/>
      <c r="AI11" s="80"/>
      <c r="AJ11" s="80"/>
      <c r="AK11" s="81"/>
      <c r="AL11" s="79"/>
      <c r="AM11" s="79"/>
      <c r="AN11" s="79"/>
      <c r="AO11" s="80"/>
      <c r="AP11" s="80"/>
      <c r="AQ11" s="80"/>
      <c r="AR11" s="81"/>
      <c r="AS11" s="79"/>
      <c r="AT11" s="80"/>
      <c r="AU11" s="80"/>
      <c r="AV11" s="80"/>
      <c r="AW11" s="82"/>
      <c r="AX11" s="80"/>
      <c r="AY11" s="272"/>
    </row>
    <row r="12" spans="1:51" s="33" customFormat="1" ht="20.100000000000001" customHeight="1">
      <c r="A12" s="20">
        <f>ROW()-5</f>
        <v>7</v>
      </c>
      <c r="B12" s="20">
        <f ca="1">getIndentLevel($D$12)</f>
        <v>3</v>
      </c>
      <c r="C12" s="103"/>
      <c r="D12" s="229" t="s">
        <v>189</v>
      </c>
      <c r="E12" s="27">
        <v>44084</v>
      </c>
      <c r="F12" s="116">
        <v>44092</v>
      </c>
      <c r="G12" s="225" t="s">
        <v>40</v>
      </c>
      <c r="H12" s="27"/>
      <c r="I12" s="116"/>
      <c r="J12" s="31"/>
      <c r="K12" s="117"/>
      <c r="L12" s="115"/>
      <c r="M12" s="139">
        <v>11</v>
      </c>
      <c r="N12" s="119" t="s">
        <v>215</v>
      </c>
      <c r="O12" s="40">
        <f>7</f>
        <v>7</v>
      </c>
      <c r="P12" s="118">
        <f>4</f>
        <v>4</v>
      </c>
      <c r="Q12" s="41">
        <v>0</v>
      </c>
      <c r="R12" s="63"/>
      <c r="S12" s="114"/>
      <c r="T12" s="80"/>
      <c r="U12" s="80"/>
      <c r="V12" s="80"/>
      <c r="W12" s="81"/>
      <c r="X12" s="79"/>
      <c r="Y12" s="80"/>
      <c r="Z12" s="80"/>
      <c r="AA12" s="80"/>
      <c r="AB12" s="80"/>
      <c r="AC12" s="80"/>
      <c r="AD12" s="81"/>
      <c r="AE12" s="79"/>
      <c r="AF12" s="80"/>
      <c r="AG12" s="80"/>
      <c r="AH12" s="80"/>
      <c r="AI12" s="80"/>
      <c r="AJ12" s="80"/>
      <c r="AK12" s="81"/>
      <c r="AL12" s="79"/>
      <c r="AM12" s="79"/>
      <c r="AN12" s="79"/>
      <c r="AO12" s="80"/>
      <c r="AP12" s="80"/>
      <c r="AQ12" s="80"/>
      <c r="AR12" s="81"/>
      <c r="AS12" s="79"/>
      <c r="AT12" s="80"/>
      <c r="AU12" s="80"/>
      <c r="AV12" s="80"/>
      <c r="AW12" s="82"/>
      <c r="AX12" s="80"/>
      <c r="AY12" s="272"/>
    </row>
    <row r="13" spans="1:51" s="33" customFormat="1" ht="20.100000000000001" customHeight="1">
      <c r="A13" s="20">
        <f>ROW()-5</f>
        <v>8</v>
      </c>
      <c r="B13" s="20">
        <f ca="1">getIndentLevel($D$13)</f>
        <v>4</v>
      </c>
      <c r="C13" s="103" t="s">
        <v>218</v>
      </c>
      <c r="D13" s="230" t="s">
        <v>221</v>
      </c>
      <c r="E13" s="27">
        <v>44084</v>
      </c>
      <c r="F13" s="116">
        <v>44088</v>
      </c>
      <c r="G13" s="225" t="s">
        <v>163</v>
      </c>
      <c r="H13" s="27"/>
      <c r="I13" s="116"/>
      <c r="J13" s="31"/>
      <c r="K13" s="117">
        <f>0</f>
        <v>0</v>
      </c>
      <c r="L13" s="115"/>
      <c r="M13" s="139">
        <v>12</v>
      </c>
      <c r="N13" s="119"/>
      <c r="O13" s="40">
        <f>3</f>
        <v>3</v>
      </c>
      <c r="P13" s="118"/>
      <c r="Q13" s="41">
        <v>0</v>
      </c>
      <c r="R13" s="63"/>
      <c r="S13" s="114"/>
      <c r="T13" s="80"/>
      <c r="U13" s="80"/>
      <c r="V13" s="80"/>
      <c r="W13" s="81"/>
      <c r="X13" s="79"/>
      <c r="Y13" s="80"/>
      <c r="Z13" s="80"/>
      <c r="AA13" s="80"/>
      <c r="AB13" s="80"/>
      <c r="AC13" s="80"/>
      <c r="AD13" s="81"/>
      <c r="AE13" s="79"/>
      <c r="AF13" s="80"/>
      <c r="AG13" s="80"/>
      <c r="AH13" s="80"/>
      <c r="AI13" s="80"/>
      <c r="AJ13" s="80"/>
      <c r="AK13" s="81"/>
      <c r="AL13" s="79"/>
      <c r="AM13" s="79"/>
      <c r="AN13" s="79"/>
      <c r="AO13" s="80"/>
      <c r="AP13" s="80"/>
      <c r="AQ13" s="80"/>
      <c r="AR13" s="81"/>
      <c r="AS13" s="79"/>
      <c r="AT13" s="80"/>
      <c r="AU13" s="80"/>
      <c r="AV13" s="80"/>
      <c r="AW13" s="82"/>
      <c r="AX13" s="80"/>
      <c r="AY13" s="272"/>
    </row>
    <row r="14" spans="1:51" s="33" customFormat="1" ht="20.100000000000001" customHeight="1">
      <c r="A14" s="20">
        <f>ROW()-5</f>
        <v>9</v>
      </c>
      <c r="B14" s="20">
        <f ca="1">getIndentLevel($D$14)</f>
        <v>4</v>
      </c>
      <c r="C14" s="103" t="s">
        <v>218</v>
      </c>
      <c r="D14" s="230" t="s">
        <v>222</v>
      </c>
      <c r="E14" s="27">
        <v>44088</v>
      </c>
      <c r="F14" s="116">
        <v>44090</v>
      </c>
      <c r="G14" s="225" t="s">
        <v>164</v>
      </c>
      <c r="H14" s="27"/>
      <c r="I14" s="116"/>
      <c r="J14" s="31"/>
      <c r="K14" s="117">
        <f>0</f>
        <v>0</v>
      </c>
      <c r="L14" s="115"/>
      <c r="M14" s="139">
        <v>12</v>
      </c>
      <c r="N14" s="119"/>
      <c r="O14" s="40">
        <f>3</f>
        <v>3</v>
      </c>
      <c r="P14" s="118"/>
      <c r="Q14" s="41">
        <v>0</v>
      </c>
      <c r="R14" s="63"/>
      <c r="S14" s="114"/>
      <c r="T14" s="80"/>
      <c r="U14" s="80"/>
      <c r="V14" s="80"/>
      <c r="W14" s="81"/>
      <c r="X14" s="79"/>
      <c r="Y14" s="80"/>
      <c r="Z14" s="80"/>
      <c r="AA14" s="80"/>
      <c r="AB14" s="80"/>
      <c r="AC14" s="80"/>
      <c r="AD14" s="81"/>
      <c r="AE14" s="79"/>
      <c r="AF14" s="80"/>
      <c r="AG14" s="80"/>
      <c r="AH14" s="80"/>
      <c r="AI14" s="80"/>
      <c r="AJ14" s="80"/>
      <c r="AK14" s="81"/>
      <c r="AL14" s="79"/>
      <c r="AM14" s="79"/>
      <c r="AN14" s="79"/>
      <c r="AO14" s="80"/>
      <c r="AP14" s="80"/>
      <c r="AQ14" s="80"/>
      <c r="AR14" s="81"/>
      <c r="AS14" s="79"/>
      <c r="AT14" s="80"/>
      <c r="AU14" s="80"/>
      <c r="AV14" s="80"/>
      <c r="AW14" s="82"/>
      <c r="AX14" s="80"/>
      <c r="AY14" s="272"/>
    </row>
    <row r="15" spans="1:51" s="33" customFormat="1" ht="20.100000000000001" customHeight="1">
      <c r="A15" s="20">
        <f>ROW()-5</f>
        <v>10</v>
      </c>
      <c r="B15" s="20">
        <f ca="1">getIndentLevel($D$15)</f>
        <v>4</v>
      </c>
      <c r="C15" s="103" t="s">
        <v>218</v>
      </c>
      <c r="D15" s="230" t="s">
        <v>223</v>
      </c>
      <c r="E15" s="27">
        <v>44091</v>
      </c>
      <c r="F15" s="116">
        <v>44092</v>
      </c>
      <c r="G15" s="225" t="s">
        <v>168</v>
      </c>
      <c r="H15" s="27"/>
      <c r="I15" s="116"/>
      <c r="J15" s="31"/>
      <c r="K15" s="117">
        <f>0</f>
        <v>0</v>
      </c>
      <c r="L15" s="115"/>
      <c r="M15" s="139">
        <v>12</v>
      </c>
      <c r="N15" s="119"/>
      <c r="O15" s="40">
        <f>2</f>
        <v>2</v>
      </c>
      <c r="P15" s="118"/>
      <c r="Q15" s="41">
        <v>0</v>
      </c>
      <c r="R15" s="63"/>
      <c r="S15" s="114"/>
      <c r="T15" s="80"/>
      <c r="U15" s="80"/>
      <c r="V15" s="80"/>
      <c r="W15" s="81"/>
      <c r="X15" s="79"/>
      <c r="Y15" s="80"/>
      <c r="Z15" s="80"/>
      <c r="AA15" s="80"/>
      <c r="AB15" s="80"/>
      <c r="AC15" s="80"/>
      <c r="AD15" s="81"/>
      <c r="AE15" s="79"/>
      <c r="AF15" s="80"/>
      <c r="AG15" s="80"/>
      <c r="AH15" s="80"/>
      <c r="AI15" s="80"/>
      <c r="AJ15" s="80"/>
      <c r="AK15" s="81"/>
      <c r="AL15" s="79"/>
      <c r="AM15" s="79"/>
      <c r="AN15" s="79"/>
      <c r="AO15" s="80"/>
      <c r="AP15" s="80"/>
      <c r="AQ15" s="80"/>
      <c r="AR15" s="81"/>
      <c r="AS15" s="79"/>
      <c r="AT15" s="80"/>
      <c r="AU15" s="80"/>
      <c r="AV15" s="80"/>
      <c r="AW15" s="82"/>
      <c r="AX15" s="80"/>
      <c r="AY15" s="272"/>
    </row>
  </sheetData>
  <sheetProtection formatColumns="0" formatRows="0" autoFilter="0"/>
  <dataConsolidate/>
  <mergeCells count="10">
    <mergeCell ref="S3:AU3"/>
    <mergeCell ref="AW3:AY3"/>
    <mergeCell ref="A5:D5"/>
    <mergeCell ref="Q2:Q3"/>
    <mergeCell ref="R2:R3"/>
    <mergeCell ref="A2:A3"/>
    <mergeCell ref="B2:B3"/>
    <mergeCell ref="D2:D3"/>
    <mergeCell ref="L2:L3"/>
    <mergeCell ref="C2:C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D1:D4 E6:F15"/>
    <dataValidation imeMode="off" allowBlank="1" showInputMessage="1" showErrorMessage="1" sqref="E4:F4 C4 H4:R4"/>
    <dataValidation type="list" allowBlank="1" showInputMessage="1" showErrorMessage="1" sqref="G4 G6:G15">
      <formula1>担当者</formula1>
    </dataValidation>
    <dataValidation imeMode="on" allowBlank="1" showInputMessage="1" showErrorMessage="1" sqref="D6:D1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P36"/>
  <sheetViews>
    <sheetView showGridLines="0" zoomScale="85" zoomScaleNormal="85" workbookViewId="0">
      <pane xSplit="1" ySplit="5" topLeftCell="B6" activePane="bottomRight" state="frozen"/>
      <selection pane="topRight" activeCell="M1" sqref="M1"/>
      <selection pane="bottomLeft" activeCell="A6" sqref="A6"/>
      <selection pane="bottomRight" activeCell="G2" sqref="G2:G3"/>
    </sheetView>
  </sheetViews>
  <sheetFormatPr defaultColWidth="3.125" defaultRowHeight="20.100000000000001" customHeight="1"/>
  <cols>
    <col min="1" max="1" width="4.625" style="22" customWidth="1"/>
    <col min="2" max="3" width="3.625" style="22" customWidth="1"/>
    <col min="4" max="4" width="40.625" style="22" customWidth="1"/>
    <col min="5" max="6" width="6.625" style="29" customWidth="1"/>
    <col min="7" max="7" width="7.625" style="23" customWidth="1"/>
    <col min="8" max="9" width="6.625" style="29" customWidth="1"/>
    <col min="10" max="11" width="6.625" style="30" customWidth="1"/>
    <col min="12" max="12" width="10.625" style="86" customWidth="1"/>
    <col min="13" max="14" width="7.625" style="61" customWidth="1"/>
    <col min="15" max="15" width="10.625" style="62" customWidth="1"/>
    <col min="16" max="16" width="40.625" style="22" customWidth="1"/>
    <col min="17" max="16384" width="3.125" style="19"/>
  </cols>
  <sheetData>
    <row r="1" spans="1:16" ht="20.100000000000001" customHeight="1">
      <c r="A1" s="83"/>
      <c r="B1" s="43"/>
      <c r="C1" s="43"/>
      <c r="D1" s="43"/>
      <c r="E1" s="25"/>
      <c r="F1" s="84"/>
      <c r="G1" s="43"/>
      <c r="H1" s="84"/>
      <c r="I1" s="84"/>
      <c r="J1" s="85"/>
      <c r="K1" s="87"/>
      <c r="L1" s="102"/>
      <c r="M1" s="46"/>
      <c r="N1" s="46"/>
      <c r="O1" s="49"/>
      <c r="P1" s="57"/>
    </row>
    <row r="2" spans="1:16" ht="20.100000000000001" customHeight="1">
      <c r="A2" s="260" t="s">
        <v>57</v>
      </c>
      <c r="B2" s="260" t="s">
        <v>0</v>
      </c>
      <c r="C2" s="261" t="s">
        <v>137</v>
      </c>
      <c r="D2" s="259" t="s">
        <v>56</v>
      </c>
      <c r="E2" s="26" t="s">
        <v>2</v>
      </c>
      <c r="F2" s="110"/>
      <c r="G2" s="37" t="s">
        <v>1</v>
      </c>
      <c r="H2" s="26" t="s">
        <v>29</v>
      </c>
      <c r="I2" s="110"/>
      <c r="J2" s="55" t="s">
        <v>36</v>
      </c>
      <c r="K2" s="113"/>
      <c r="L2" s="259" t="s">
        <v>127</v>
      </c>
      <c r="M2" s="47" t="s">
        <v>30</v>
      </c>
      <c r="N2" s="59"/>
      <c r="O2" s="255" t="s">
        <v>41</v>
      </c>
      <c r="P2" s="257" t="s">
        <v>31</v>
      </c>
    </row>
    <row r="3" spans="1:16" s="32" customFormat="1" ht="20.100000000000001" customHeight="1">
      <c r="A3" s="260"/>
      <c r="B3" s="260"/>
      <c r="C3" s="261"/>
      <c r="D3" s="259"/>
      <c r="E3" s="112" t="s">
        <v>4</v>
      </c>
      <c r="F3" s="54" t="s">
        <v>5</v>
      </c>
      <c r="G3" s="38" t="s">
        <v>3</v>
      </c>
      <c r="H3" s="54" t="s">
        <v>32</v>
      </c>
      <c r="I3" s="54" t="s">
        <v>33</v>
      </c>
      <c r="J3" s="51" t="s">
        <v>37</v>
      </c>
      <c r="K3" s="51" t="s">
        <v>38</v>
      </c>
      <c r="L3" s="259"/>
      <c r="M3" s="65" t="s">
        <v>34</v>
      </c>
      <c r="N3" s="65" t="s">
        <v>35</v>
      </c>
      <c r="O3" s="256"/>
      <c r="P3" s="258"/>
    </row>
    <row r="4" spans="1:16" s="33" customFormat="1" ht="20.100000000000001" customHeight="1">
      <c r="A4" s="20"/>
      <c r="B4" s="20"/>
      <c r="C4" s="103"/>
      <c r="D4" s="21"/>
      <c r="E4" s="28"/>
      <c r="F4" s="27"/>
      <c r="G4" s="42"/>
      <c r="H4" s="36"/>
      <c r="I4" s="27"/>
      <c r="J4" s="35"/>
      <c r="K4" s="31"/>
      <c r="L4" s="104"/>
      <c r="M4" s="40"/>
      <c r="N4" s="60"/>
      <c r="O4" s="41"/>
      <c r="P4" s="63"/>
    </row>
    <row r="5" spans="1:16" ht="35.1" customHeight="1">
      <c r="A5" s="246" t="s">
        <v>26</v>
      </c>
      <c r="B5" s="246"/>
      <c r="C5" s="246"/>
      <c r="D5" s="247"/>
      <c r="E5" s="45"/>
      <c r="F5" s="45"/>
      <c r="G5" s="39"/>
      <c r="H5" s="45"/>
      <c r="I5" s="45"/>
      <c r="J5" s="56"/>
      <c r="K5" s="52">
        <v>0</v>
      </c>
      <c r="L5" s="39"/>
      <c r="M5" s="48"/>
      <c r="N5" s="48"/>
      <c r="O5" s="50">
        <v>0</v>
      </c>
      <c r="P5" s="39"/>
    </row>
    <row r="6" spans="1:16" s="33" customFormat="1" ht="20.100000000000001" customHeight="1">
      <c r="A6" s="20">
        <f t="shared" ref="A6:A36" si="0">ROW()-5</f>
        <v>1</v>
      </c>
      <c r="B6" s="20">
        <f ca="1">getIndentLevel(D6)</f>
        <v>1</v>
      </c>
      <c r="C6" s="103"/>
      <c r="D6" s="224" t="s">
        <v>100</v>
      </c>
      <c r="E6" s="27">
        <v>44075</v>
      </c>
      <c r="F6" s="116">
        <v>44092</v>
      </c>
      <c r="G6" s="225" t="s">
        <v>216</v>
      </c>
      <c r="H6" s="36"/>
      <c r="I6" s="27"/>
      <c r="J6" s="35"/>
      <c r="K6" s="31"/>
      <c r="L6" s="104"/>
      <c r="M6" s="40">
        <f>16</f>
        <v>16</v>
      </c>
      <c r="N6" s="60">
        <f>-15</f>
        <v>-15</v>
      </c>
      <c r="O6" s="41">
        <v>0</v>
      </c>
      <c r="P6" s="63"/>
    </row>
    <row r="7" spans="1:16" s="33" customFormat="1" ht="20.100000000000001" customHeight="1">
      <c r="A7" s="20">
        <f t="shared" si="0"/>
        <v>2</v>
      </c>
      <c r="B7" s="20">
        <f t="shared" ref="B7:B36" ca="1" si="1">getIndentLevel(D7)</f>
        <v>2</v>
      </c>
      <c r="C7" s="103"/>
      <c r="D7" s="228" t="s">
        <v>101</v>
      </c>
      <c r="E7" s="27">
        <v>44075</v>
      </c>
      <c r="F7" s="116">
        <v>44083</v>
      </c>
      <c r="G7" s="225" t="s">
        <v>216</v>
      </c>
      <c r="H7" s="36"/>
      <c r="I7" s="27"/>
      <c r="J7" s="35"/>
      <c r="K7" s="31"/>
      <c r="L7" s="104"/>
      <c r="M7" s="40">
        <f>6</f>
        <v>6</v>
      </c>
      <c r="N7" s="60">
        <f>-15</f>
        <v>-15</v>
      </c>
      <c r="O7" s="41">
        <v>0</v>
      </c>
      <c r="P7" s="63"/>
    </row>
    <row r="8" spans="1:16" s="33" customFormat="1" ht="20.100000000000001" customHeight="1">
      <c r="A8" s="20">
        <f t="shared" si="0"/>
        <v>3</v>
      </c>
      <c r="B8" s="20">
        <f t="shared" ca="1" si="1"/>
        <v>3</v>
      </c>
      <c r="C8" s="103"/>
      <c r="D8" s="229" t="s">
        <v>221</v>
      </c>
      <c r="E8" s="27">
        <v>44075</v>
      </c>
      <c r="F8" s="116">
        <v>44077</v>
      </c>
      <c r="G8" s="225" t="s">
        <v>163</v>
      </c>
      <c r="H8" s="36"/>
      <c r="I8" s="27"/>
      <c r="J8" s="35"/>
      <c r="K8" s="31"/>
      <c r="L8" s="104"/>
      <c r="M8" s="40">
        <f>2</f>
        <v>2</v>
      </c>
      <c r="N8" s="60">
        <v>1</v>
      </c>
      <c r="O8" s="41"/>
      <c r="P8" s="63"/>
    </row>
    <row r="9" spans="1:16" s="33" customFormat="1" ht="20.100000000000001" customHeight="1">
      <c r="A9" s="20">
        <f t="shared" si="0"/>
        <v>4</v>
      </c>
      <c r="B9" s="20">
        <f t="shared" ca="1" si="1"/>
        <v>3</v>
      </c>
      <c r="C9" s="103"/>
      <c r="D9" s="229" t="s">
        <v>222</v>
      </c>
      <c r="E9" s="27">
        <v>44078</v>
      </c>
      <c r="F9" s="116">
        <v>44081</v>
      </c>
      <c r="G9" s="225" t="s">
        <v>164</v>
      </c>
      <c r="H9" s="36"/>
      <c r="I9" s="27"/>
      <c r="J9" s="35"/>
      <c r="K9" s="31"/>
      <c r="L9" s="104"/>
      <c r="M9" s="40">
        <f>2</f>
        <v>2</v>
      </c>
      <c r="N9" s="60"/>
      <c r="O9" s="41"/>
      <c r="P9" s="63"/>
    </row>
    <row r="10" spans="1:16" s="33" customFormat="1" ht="20.100000000000001" customHeight="1">
      <c r="A10" s="20">
        <f t="shared" si="0"/>
        <v>5</v>
      </c>
      <c r="B10" s="20">
        <f t="shared" ca="1" si="1"/>
        <v>3</v>
      </c>
      <c r="C10" s="103"/>
      <c r="D10" s="229" t="s">
        <v>223</v>
      </c>
      <c r="E10" s="27">
        <v>44081</v>
      </c>
      <c r="F10" s="116">
        <v>44083</v>
      </c>
      <c r="G10" s="225" t="s">
        <v>168</v>
      </c>
      <c r="H10" s="36"/>
      <c r="I10" s="27"/>
      <c r="J10" s="35"/>
      <c r="K10" s="31"/>
      <c r="L10" s="104"/>
      <c r="M10" s="40">
        <f>2</f>
        <v>2</v>
      </c>
      <c r="N10" s="60"/>
      <c r="O10" s="41"/>
      <c r="P10" s="63"/>
    </row>
    <row r="11" spans="1:16" ht="20.100000000000001" customHeight="1">
      <c r="A11" s="20">
        <f t="shared" si="0"/>
        <v>6</v>
      </c>
      <c r="B11" s="20">
        <f t="shared" ca="1" si="1"/>
        <v>2</v>
      </c>
      <c r="C11" s="103"/>
      <c r="D11" s="228" t="s">
        <v>94</v>
      </c>
      <c r="E11" s="27">
        <v>44084</v>
      </c>
      <c r="F11" s="116">
        <v>44092</v>
      </c>
      <c r="G11" s="225" t="s">
        <v>216</v>
      </c>
      <c r="H11" s="36"/>
      <c r="I11" s="27"/>
      <c r="J11" s="35"/>
      <c r="K11" s="31"/>
      <c r="L11" s="104"/>
      <c r="M11" s="40">
        <f>14</f>
        <v>14</v>
      </c>
      <c r="N11" s="60">
        <f>-13</f>
        <v>-13</v>
      </c>
      <c r="O11" s="41">
        <v>0</v>
      </c>
      <c r="P11" s="63"/>
    </row>
    <row r="12" spans="1:16" s="33" customFormat="1" ht="20.100000000000001" customHeight="1">
      <c r="A12" s="20">
        <f t="shared" si="0"/>
        <v>7</v>
      </c>
      <c r="B12" s="20">
        <f t="shared" ca="1" si="1"/>
        <v>3</v>
      </c>
      <c r="C12" s="103"/>
      <c r="D12" s="229" t="s">
        <v>189</v>
      </c>
      <c r="E12" s="27">
        <v>44084</v>
      </c>
      <c r="F12" s="116">
        <v>44092</v>
      </c>
      <c r="G12" s="225" t="s">
        <v>216</v>
      </c>
      <c r="H12" s="36"/>
      <c r="I12" s="27"/>
      <c r="J12" s="35"/>
      <c r="K12" s="31"/>
      <c r="L12" s="104"/>
      <c r="M12" s="40">
        <f>8</f>
        <v>8</v>
      </c>
      <c r="N12" s="60">
        <f>-13</f>
        <v>-13</v>
      </c>
      <c r="O12" s="41">
        <v>0</v>
      </c>
      <c r="P12" s="63"/>
    </row>
    <row r="13" spans="1:16" s="33" customFormat="1" ht="20.100000000000001" customHeight="1">
      <c r="A13" s="20">
        <f t="shared" si="0"/>
        <v>8</v>
      </c>
      <c r="B13" s="20">
        <f t="shared" ca="1" si="1"/>
        <v>3</v>
      </c>
      <c r="C13" s="103"/>
      <c r="D13" s="229" t="s">
        <v>221</v>
      </c>
      <c r="E13" s="27">
        <v>44084</v>
      </c>
      <c r="F13" s="116">
        <v>44088</v>
      </c>
      <c r="G13" s="225" t="s">
        <v>163</v>
      </c>
      <c r="H13" s="36"/>
      <c r="I13" s="27"/>
      <c r="J13" s="35"/>
      <c r="K13" s="31"/>
      <c r="L13" s="104"/>
      <c r="M13" s="40">
        <f>3</f>
        <v>3</v>
      </c>
      <c r="N13" s="60"/>
      <c r="O13" s="41"/>
      <c r="P13" s="63"/>
    </row>
    <row r="14" spans="1:16" s="33" customFormat="1" ht="20.100000000000001" customHeight="1">
      <c r="A14" s="20">
        <f t="shared" si="0"/>
        <v>9</v>
      </c>
      <c r="B14" s="20">
        <f t="shared" ca="1" si="1"/>
        <v>3</v>
      </c>
      <c r="C14" s="103"/>
      <c r="D14" s="229" t="s">
        <v>222</v>
      </c>
      <c r="E14" s="27">
        <v>44088</v>
      </c>
      <c r="F14" s="116">
        <v>44090</v>
      </c>
      <c r="G14" s="225" t="s">
        <v>164</v>
      </c>
      <c r="H14" s="36"/>
      <c r="I14" s="27"/>
      <c r="J14" s="35"/>
      <c r="K14" s="31"/>
      <c r="L14" s="104"/>
      <c r="M14" s="40">
        <f>3</f>
        <v>3</v>
      </c>
      <c r="N14" s="60"/>
      <c r="O14" s="41"/>
      <c r="P14" s="63"/>
    </row>
    <row r="15" spans="1:16" s="33" customFormat="1" ht="20.100000000000001" customHeight="1">
      <c r="A15" s="20">
        <f t="shared" si="0"/>
        <v>10</v>
      </c>
      <c r="B15" s="20">
        <f t="shared" ca="1" si="1"/>
        <v>3</v>
      </c>
      <c r="C15" s="103"/>
      <c r="D15" s="229" t="s">
        <v>223</v>
      </c>
      <c r="E15" s="27">
        <v>44091</v>
      </c>
      <c r="F15" s="116">
        <v>44092</v>
      </c>
      <c r="G15" s="225" t="s">
        <v>168</v>
      </c>
      <c r="H15" s="36"/>
      <c r="I15" s="27"/>
      <c r="J15" s="35"/>
      <c r="K15" s="31"/>
      <c r="L15" s="104"/>
      <c r="M15" s="108">
        <f>3</f>
        <v>3</v>
      </c>
      <c r="N15" s="60"/>
      <c r="O15" s="41"/>
      <c r="P15" s="63"/>
    </row>
    <row r="16" spans="1:16" s="33" customFormat="1" ht="20.100000000000001" customHeight="1">
      <c r="A16" s="20">
        <f t="shared" si="0"/>
        <v>11</v>
      </c>
      <c r="B16" s="20">
        <f t="shared" ca="1" si="1"/>
        <v>4</v>
      </c>
      <c r="C16" s="103"/>
      <c r="D16" s="107" t="s">
        <v>63</v>
      </c>
      <c r="E16" s="28">
        <v>44069</v>
      </c>
      <c r="F16" s="27">
        <v>44069</v>
      </c>
      <c r="G16" s="42"/>
      <c r="H16" s="36"/>
      <c r="I16" s="27"/>
      <c r="J16" s="35"/>
      <c r="K16" s="31"/>
      <c r="L16" s="104"/>
      <c r="M16" s="40">
        <f>1</f>
        <v>1</v>
      </c>
      <c r="N16" s="60"/>
      <c r="O16" s="41"/>
      <c r="P16" s="63"/>
    </row>
    <row r="17" spans="1:16" s="33" customFormat="1" ht="20.100000000000001" customHeight="1">
      <c r="A17" s="20">
        <f t="shared" si="0"/>
        <v>12</v>
      </c>
      <c r="B17" s="20">
        <f t="shared" ca="1" si="1"/>
        <v>3</v>
      </c>
      <c r="C17" s="103"/>
      <c r="D17" s="106" t="s">
        <v>102</v>
      </c>
      <c r="E17" s="28">
        <v>44069</v>
      </c>
      <c r="F17" s="27">
        <v>44071</v>
      </c>
      <c r="G17" s="42" t="s">
        <v>40</v>
      </c>
      <c r="H17" s="36"/>
      <c r="I17" s="27"/>
      <c r="J17" s="35"/>
      <c r="K17" s="31"/>
      <c r="L17" s="104"/>
      <c r="M17" s="40">
        <f>3</f>
        <v>3</v>
      </c>
      <c r="N17" s="60">
        <f>-6</f>
        <v>-6</v>
      </c>
      <c r="O17" s="41">
        <v>0</v>
      </c>
      <c r="P17" s="63"/>
    </row>
    <row r="18" spans="1:16" s="33" customFormat="1" ht="20.100000000000001" customHeight="1">
      <c r="A18" s="20">
        <f t="shared" si="0"/>
        <v>13</v>
      </c>
      <c r="B18" s="20">
        <f t="shared" ca="1" si="1"/>
        <v>4</v>
      </c>
      <c r="C18" s="103"/>
      <c r="D18" s="107" t="s">
        <v>111</v>
      </c>
      <c r="E18" s="28">
        <v>44069</v>
      </c>
      <c r="F18" s="27">
        <v>44071</v>
      </c>
      <c r="G18" s="42"/>
      <c r="H18" s="36"/>
      <c r="I18" s="27"/>
      <c r="J18" s="35"/>
      <c r="K18" s="31"/>
      <c r="L18" s="104"/>
      <c r="M18" s="40">
        <f>3</f>
        <v>3</v>
      </c>
      <c r="N18" s="60"/>
      <c r="O18" s="41"/>
      <c r="P18" s="63"/>
    </row>
    <row r="19" spans="1:16" s="33" customFormat="1" ht="20.100000000000001" customHeight="1">
      <c r="A19" s="20">
        <f t="shared" si="0"/>
        <v>14</v>
      </c>
      <c r="B19" s="20">
        <f t="shared" ca="1" si="1"/>
        <v>4</v>
      </c>
      <c r="C19" s="103"/>
      <c r="D19" s="107" t="s">
        <v>63</v>
      </c>
      <c r="E19" s="28">
        <v>44071</v>
      </c>
      <c r="F19" s="27">
        <v>44071</v>
      </c>
      <c r="G19" s="42"/>
      <c r="H19" s="36"/>
      <c r="I19" s="27"/>
      <c r="J19" s="35"/>
      <c r="K19" s="31"/>
      <c r="L19" s="104"/>
      <c r="M19" s="40">
        <f>1</f>
        <v>1</v>
      </c>
      <c r="N19" s="60"/>
      <c r="O19" s="41"/>
      <c r="P19" s="63"/>
    </row>
    <row r="20" spans="1:16" s="33" customFormat="1" ht="20.100000000000001" customHeight="1">
      <c r="A20" s="20">
        <f t="shared" si="0"/>
        <v>15</v>
      </c>
      <c r="B20" s="20">
        <f t="shared" ca="1" si="1"/>
        <v>3</v>
      </c>
      <c r="C20" s="103"/>
      <c r="D20" s="106" t="s">
        <v>110</v>
      </c>
      <c r="E20" s="28">
        <v>44074</v>
      </c>
      <c r="F20" s="27">
        <v>44077</v>
      </c>
      <c r="G20" s="42" t="s">
        <v>40</v>
      </c>
      <c r="H20" s="36"/>
      <c r="I20" s="27"/>
      <c r="J20" s="35"/>
      <c r="K20" s="31"/>
      <c r="L20" s="104"/>
      <c r="M20" s="40">
        <f>4</f>
        <v>4</v>
      </c>
      <c r="N20" s="60">
        <f>-3</f>
        <v>-3</v>
      </c>
      <c r="O20" s="41">
        <v>0</v>
      </c>
      <c r="P20" s="63"/>
    </row>
    <row r="21" spans="1:16" s="33" customFormat="1" ht="20.100000000000001" customHeight="1">
      <c r="A21" s="20">
        <f t="shared" si="0"/>
        <v>16</v>
      </c>
      <c r="B21" s="20">
        <f t="shared" ca="1" si="1"/>
        <v>4</v>
      </c>
      <c r="C21" s="103"/>
      <c r="D21" s="107" t="s">
        <v>103</v>
      </c>
      <c r="E21" s="28">
        <v>44074</v>
      </c>
      <c r="F21" s="27">
        <v>44077</v>
      </c>
      <c r="G21" s="42"/>
      <c r="H21" s="36"/>
      <c r="I21" s="27"/>
      <c r="J21" s="35"/>
      <c r="K21" s="31"/>
      <c r="L21" s="104"/>
      <c r="M21" s="40">
        <f>4</f>
        <v>4</v>
      </c>
      <c r="N21" s="60"/>
      <c r="O21" s="41"/>
      <c r="P21" s="63"/>
    </row>
    <row r="22" spans="1:16" s="33" customFormat="1" ht="20.100000000000001" customHeight="1">
      <c r="A22" s="20">
        <f t="shared" si="0"/>
        <v>17</v>
      </c>
      <c r="B22" s="20">
        <f t="shared" ca="1" si="1"/>
        <v>1</v>
      </c>
      <c r="C22" s="103"/>
      <c r="D22" s="21" t="s">
        <v>104</v>
      </c>
      <c r="E22" s="28">
        <v>44081</v>
      </c>
      <c r="F22" s="27">
        <v>44083</v>
      </c>
      <c r="G22" s="42" t="s">
        <v>40</v>
      </c>
      <c r="H22" s="36"/>
      <c r="I22" s="27"/>
      <c r="J22" s="35"/>
      <c r="K22" s="31"/>
      <c r="L22" s="104"/>
      <c r="M22" s="40">
        <f>3</f>
        <v>3</v>
      </c>
      <c r="N22" s="60">
        <f>4</f>
        <v>4</v>
      </c>
      <c r="O22" s="41">
        <v>0</v>
      </c>
      <c r="P22" s="63"/>
    </row>
    <row r="23" spans="1:16" s="33" customFormat="1" ht="20.100000000000001" customHeight="1">
      <c r="A23" s="20">
        <f t="shared" si="0"/>
        <v>18</v>
      </c>
      <c r="B23" s="20">
        <f t="shared" ca="1" si="1"/>
        <v>2</v>
      </c>
      <c r="C23" s="103"/>
      <c r="D23" s="105" t="s">
        <v>105</v>
      </c>
      <c r="E23" s="28">
        <v>44081</v>
      </c>
      <c r="F23" s="27">
        <v>44083</v>
      </c>
      <c r="G23" s="42" t="s">
        <v>40</v>
      </c>
      <c r="H23" s="36"/>
      <c r="I23" s="27"/>
      <c r="J23" s="35"/>
      <c r="K23" s="31"/>
      <c r="L23" s="104"/>
      <c r="M23" s="40">
        <f>3</f>
        <v>3</v>
      </c>
      <c r="N23" s="60">
        <f>4</f>
        <v>4</v>
      </c>
      <c r="O23" s="41">
        <v>0</v>
      </c>
      <c r="P23" s="63"/>
    </row>
    <row r="24" spans="1:16" s="33" customFormat="1" ht="20.100000000000001" customHeight="1">
      <c r="A24" s="20">
        <f t="shared" si="0"/>
        <v>19</v>
      </c>
      <c r="B24" s="20">
        <f t="shared" ca="1" si="1"/>
        <v>3</v>
      </c>
      <c r="C24" s="103"/>
      <c r="D24" s="106" t="s">
        <v>106</v>
      </c>
      <c r="E24" s="28">
        <v>44081</v>
      </c>
      <c r="F24" s="27">
        <v>44083</v>
      </c>
      <c r="G24" s="42" t="s">
        <v>40</v>
      </c>
      <c r="H24" s="36"/>
      <c r="I24" s="27"/>
      <c r="J24" s="35"/>
      <c r="K24" s="31"/>
      <c r="L24" s="104"/>
      <c r="M24" s="40">
        <f>3</f>
        <v>3</v>
      </c>
      <c r="N24" s="60">
        <f>4</f>
        <v>4</v>
      </c>
      <c r="O24" s="41">
        <v>0</v>
      </c>
      <c r="P24" s="63"/>
    </row>
    <row r="25" spans="1:16" s="33" customFormat="1" ht="20.100000000000001" customHeight="1">
      <c r="A25" s="20">
        <f t="shared" si="0"/>
        <v>20</v>
      </c>
      <c r="B25" s="20">
        <f t="shared" ca="1" si="1"/>
        <v>4</v>
      </c>
      <c r="C25" s="103"/>
      <c r="D25" s="107" t="s">
        <v>65</v>
      </c>
      <c r="E25" s="28">
        <v>44081</v>
      </c>
      <c r="F25" s="27">
        <v>44081</v>
      </c>
      <c r="G25" s="42"/>
      <c r="H25" s="36"/>
      <c r="I25" s="27"/>
      <c r="J25" s="35"/>
      <c r="K25" s="31"/>
      <c r="L25" s="104"/>
      <c r="M25" s="40">
        <f>1</f>
        <v>1</v>
      </c>
      <c r="N25" s="60"/>
      <c r="O25" s="41"/>
      <c r="P25" s="63"/>
    </row>
    <row r="26" spans="1:16" s="33" customFormat="1" ht="20.100000000000001" customHeight="1">
      <c r="A26" s="20">
        <f t="shared" si="0"/>
        <v>21</v>
      </c>
      <c r="B26" s="20">
        <f t="shared" ca="1" si="1"/>
        <v>4</v>
      </c>
      <c r="C26" s="103"/>
      <c r="D26" s="107" t="s">
        <v>66</v>
      </c>
      <c r="E26" s="28">
        <v>44081</v>
      </c>
      <c r="F26" s="27">
        <v>44082</v>
      </c>
      <c r="G26" s="42" t="s">
        <v>40</v>
      </c>
      <c r="H26" s="36"/>
      <c r="I26" s="27"/>
      <c r="J26" s="35"/>
      <c r="K26" s="31"/>
      <c r="L26" s="104"/>
      <c r="M26" s="40">
        <f>2</f>
        <v>2</v>
      </c>
      <c r="N26" s="60">
        <f>4</f>
        <v>4</v>
      </c>
      <c r="O26" s="41">
        <v>0</v>
      </c>
      <c r="P26" s="63"/>
    </row>
    <row r="27" spans="1:16" ht="20.100000000000001" customHeight="1">
      <c r="A27" s="20">
        <f t="shared" si="0"/>
        <v>22</v>
      </c>
      <c r="B27" s="20">
        <f t="shared" ca="1" si="1"/>
        <v>5</v>
      </c>
      <c r="C27" s="103"/>
      <c r="D27" s="109" t="s">
        <v>107</v>
      </c>
      <c r="E27" s="28">
        <v>44081</v>
      </c>
      <c r="F27" s="27">
        <v>44081</v>
      </c>
      <c r="G27" s="42"/>
      <c r="H27" s="36"/>
      <c r="I27" s="27"/>
      <c r="J27" s="35"/>
      <c r="K27" s="31"/>
      <c r="L27" s="104"/>
      <c r="M27" s="40">
        <f>1</f>
        <v>1</v>
      </c>
      <c r="N27" s="60"/>
      <c r="O27" s="41"/>
      <c r="P27" s="63"/>
    </row>
    <row r="28" spans="1:16" ht="20.100000000000001" customHeight="1">
      <c r="A28" s="20">
        <f t="shared" si="0"/>
        <v>23</v>
      </c>
      <c r="B28" s="20">
        <f t="shared" ca="1" si="1"/>
        <v>5</v>
      </c>
      <c r="C28" s="103"/>
      <c r="D28" s="109" t="s">
        <v>89</v>
      </c>
      <c r="E28" s="28">
        <v>44082</v>
      </c>
      <c r="F28" s="27">
        <v>44082</v>
      </c>
      <c r="G28" s="42"/>
      <c r="H28" s="36"/>
      <c r="I28" s="27"/>
      <c r="J28" s="35"/>
      <c r="K28" s="31"/>
      <c r="L28" s="104"/>
      <c r="M28" s="40">
        <f>1</f>
        <v>1</v>
      </c>
      <c r="N28" s="60"/>
      <c r="O28" s="41"/>
      <c r="P28" s="63"/>
    </row>
    <row r="29" spans="1:16" ht="20.100000000000001" customHeight="1">
      <c r="A29" s="20">
        <f t="shared" si="0"/>
        <v>24</v>
      </c>
      <c r="B29" s="20">
        <f t="shared" ca="1" si="1"/>
        <v>4</v>
      </c>
      <c r="C29" s="103"/>
      <c r="D29" s="107" t="s">
        <v>108</v>
      </c>
      <c r="E29" s="28">
        <v>44083</v>
      </c>
      <c r="F29" s="27">
        <v>44083</v>
      </c>
      <c r="G29" s="42"/>
      <c r="H29" s="36"/>
      <c r="I29" s="27"/>
      <c r="J29" s="35"/>
      <c r="K29" s="31"/>
      <c r="L29" s="104"/>
      <c r="M29" s="40">
        <f>1</f>
        <v>1</v>
      </c>
      <c r="N29" s="60"/>
      <c r="O29" s="41"/>
      <c r="P29" s="63"/>
    </row>
    <row r="30" spans="1:16" ht="20.100000000000001" customHeight="1">
      <c r="A30" s="20">
        <f t="shared" si="0"/>
        <v>25</v>
      </c>
      <c r="B30" s="20">
        <f t="shared" ca="1" si="1"/>
        <v>1</v>
      </c>
      <c r="C30" s="103"/>
      <c r="D30" s="21" t="s">
        <v>109</v>
      </c>
      <c r="E30" s="28">
        <v>44084</v>
      </c>
      <c r="F30" s="27">
        <v>44092</v>
      </c>
      <c r="G30" s="42" t="s">
        <v>40</v>
      </c>
      <c r="H30" s="36"/>
      <c r="I30" s="27"/>
      <c r="J30" s="35"/>
      <c r="K30" s="31"/>
      <c r="L30" s="104"/>
      <c r="M30" s="40">
        <f>7</f>
        <v>7</v>
      </c>
      <c r="N30" s="60">
        <f>7</f>
        <v>7</v>
      </c>
      <c r="O30" s="41">
        <v>0</v>
      </c>
      <c r="P30" s="63"/>
    </row>
    <row r="31" spans="1:16" ht="20.100000000000001" customHeight="1">
      <c r="A31" s="20">
        <f t="shared" si="0"/>
        <v>26</v>
      </c>
      <c r="B31" s="20">
        <f t="shared" ca="1" si="1"/>
        <v>2</v>
      </c>
      <c r="C31" s="103"/>
      <c r="D31" s="105" t="s">
        <v>105</v>
      </c>
      <c r="E31" s="28">
        <v>44084</v>
      </c>
      <c r="F31" s="27">
        <v>44084</v>
      </c>
      <c r="G31" s="42"/>
      <c r="H31" s="36"/>
      <c r="I31" s="27"/>
      <c r="J31" s="35"/>
      <c r="K31" s="31"/>
      <c r="L31" s="104"/>
      <c r="M31" s="40">
        <f>1</f>
        <v>1</v>
      </c>
      <c r="N31" s="60"/>
      <c r="O31" s="41"/>
      <c r="P31" s="63"/>
    </row>
    <row r="32" spans="1:16" ht="20.100000000000001" customHeight="1">
      <c r="A32" s="20">
        <f t="shared" si="0"/>
        <v>27</v>
      </c>
      <c r="B32" s="20">
        <f t="shared" ca="1" si="1"/>
        <v>2</v>
      </c>
      <c r="C32" s="103"/>
      <c r="D32" s="105" t="s">
        <v>106</v>
      </c>
      <c r="E32" s="28">
        <v>44085</v>
      </c>
      <c r="F32" s="27">
        <v>44092</v>
      </c>
      <c r="G32" s="42" t="s">
        <v>40</v>
      </c>
      <c r="H32" s="36"/>
      <c r="I32" s="27"/>
      <c r="J32" s="35"/>
      <c r="K32" s="31"/>
      <c r="L32" s="104"/>
      <c r="M32" s="40">
        <f>6</f>
        <v>6</v>
      </c>
      <c r="N32" s="60">
        <f>8</f>
        <v>8</v>
      </c>
      <c r="O32" s="41">
        <v>0</v>
      </c>
      <c r="P32" s="63"/>
    </row>
    <row r="33" spans="1:16" ht="20.100000000000001" customHeight="1">
      <c r="A33" s="20">
        <f t="shared" si="0"/>
        <v>28</v>
      </c>
      <c r="B33" s="20">
        <f t="shared" ca="1" si="1"/>
        <v>3</v>
      </c>
      <c r="C33" s="103"/>
      <c r="D33" s="106" t="s">
        <v>65</v>
      </c>
      <c r="E33" s="28">
        <v>44085</v>
      </c>
      <c r="F33" s="27">
        <v>44085</v>
      </c>
      <c r="G33" s="42"/>
      <c r="H33" s="36"/>
      <c r="I33" s="27"/>
      <c r="J33" s="35"/>
      <c r="K33" s="31"/>
      <c r="L33" s="104"/>
      <c r="M33" s="40">
        <f>1</f>
        <v>1</v>
      </c>
      <c r="N33" s="60"/>
      <c r="O33" s="41"/>
      <c r="P33" s="63"/>
    </row>
    <row r="34" spans="1:16" ht="20.100000000000001" customHeight="1">
      <c r="A34" s="20">
        <f t="shared" si="0"/>
        <v>29</v>
      </c>
      <c r="B34" s="20">
        <f t="shared" ca="1" si="1"/>
        <v>3</v>
      </c>
      <c r="C34" s="103"/>
      <c r="D34" s="106" t="s">
        <v>66</v>
      </c>
      <c r="E34" s="28">
        <v>44088</v>
      </c>
      <c r="F34" s="27">
        <v>44088</v>
      </c>
      <c r="G34" s="42"/>
      <c r="H34" s="36"/>
      <c r="I34" s="27"/>
      <c r="J34" s="35"/>
      <c r="K34" s="31"/>
      <c r="L34" s="104"/>
      <c r="M34" s="40">
        <f>1</f>
        <v>1</v>
      </c>
      <c r="N34" s="60"/>
      <c r="O34" s="41"/>
      <c r="P34" s="63"/>
    </row>
    <row r="35" spans="1:16" ht="20.100000000000001" customHeight="1">
      <c r="A35" s="20">
        <f t="shared" si="0"/>
        <v>30</v>
      </c>
      <c r="B35" s="20">
        <f t="shared" ca="1" si="1"/>
        <v>3</v>
      </c>
      <c r="C35" s="103"/>
      <c r="D35" s="106" t="s">
        <v>108</v>
      </c>
      <c r="E35" s="28">
        <v>44089</v>
      </c>
      <c r="F35" s="27">
        <v>44092</v>
      </c>
      <c r="G35" s="42"/>
      <c r="H35" s="36"/>
      <c r="I35" s="27"/>
      <c r="J35" s="35"/>
      <c r="K35" s="31"/>
      <c r="L35" s="104"/>
      <c r="M35" s="40">
        <f>4</f>
        <v>4</v>
      </c>
      <c r="N35" s="60"/>
      <c r="O35" s="41"/>
      <c r="P35" s="63"/>
    </row>
    <row r="36" spans="1:16" ht="20.100000000000001" customHeight="1">
      <c r="A36" s="20">
        <f t="shared" si="0"/>
        <v>31</v>
      </c>
      <c r="B36" s="20">
        <f t="shared" ca="1" si="1"/>
        <v>1</v>
      </c>
      <c r="C36" s="103"/>
      <c r="D36" s="21" t="s">
        <v>39</v>
      </c>
      <c r="E36" s="28">
        <v>44097</v>
      </c>
      <c r="F36" s="27">
        <v>44097</v>
      </c>
      <c r="G36" s="42"/>
      <c r="H36" s="36"/>
      <c r="I36" s="27"/>
      <c r="J36" s="35"/>
      <c r="K36" s="31"/>
      <c r="L36" s="104"/>
      <c r="M36" s="40">
        <f>1</f>
        <v>1</v>
      </c>
      <c r="N36" s="60"/>
      <c r="O36" s="41"/>
      <c r="P36" s="63"/>
    </row>
  </sheetData>
  <sheetProtection formatColumns="0" formatRows="0" autoFilter="0"/>
  <mergeCells count="8">
    <mergeCell ref="O2:O3"/>
    <mergeCell ref="P2:P3"/>
    <mergeCell ref="D2:D3"/>
    <mergeCell ref="L2:L3"/>
    <mergeCell ref="A5:D5"/>
    <mergeCell ref="A2:A3"/>
    <mergeCell ref="B2:B3"/>
    <mergeCell ref="C2:C3"/>
  </mergeCells>
  <phoneticPr fontId="22"/>
  <dataValidations count="5">
    <dataValidation type="list" allowBlank="1" showInputMessage="1" showErrorMessage="1" sqref="G4 G6:G36">
      <formula1>担当者</formula1>
    </dataValidation>
    <dataValidation imeMode="off" allowBlank="1" showInputMessage="1" showErrorMessage="1" sqref="E4:F4 P4 K4:K14 L4:O36 K16:K36 H4:J36 C4"/>
    <dataValidation imeMode="on" allowBlank="1" showInputMessage="1" showErrorMessage="1" sqref="D1:D4 K15 D16:F36 E6:F15"/>
    <dataValidation imeMode="disabled" allowBlank="1" showInputMessage="1" showErrorMessage="1" sqref="B2:B3"/>
    <dataValidation imeMode="on" allowBlank="1" showInputMessage="1" showErrorMessage="1" sqref="D6:D1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AY11"/>
  <sheetViews>
    <sheetView showGridLines="0" zoomScale="85" zoomScaleNormal="85" workbookViewId="0">
      <pane xSplit="18" ySplit="5" topLeftCell="S6" activePane="bottomRight" state="frozen"/>
      <selection pane="topRight" activeCell="S1" sqref="S1"/>
      <selection pane="bottomLeft" activeCell="A6" sqref="A6"/>
      <selection pane="bottomRight" activeCell="G14" sqref="G14"/>
    </sheetView>
  </sheetViews>
  <sheetFormatPr defaultColWidth="3.125" defaultRowHeight="20.100000000000001" customHeight="1"/>
  <cols>
    <col min="1" max="1" width="4.625" style="22" customWidth="1"/>
    <col min="2" max="3" width="3.625" style="22" customWidth="1"/>
    <col min="4" max="4" width="10.625" style="22" customWidth="1"/>
    <col min="5" max="5" width="40.625" style="23" customWidth="1"/>
    <col min="6" max="9" width="6.625" style="29" customWidth="1"/>
    <col min="10" max="11" width="6.625" style="30" customWidth="1"/>
    <col min="12" max="12" width="10.625" style="86" customWidth="1"/>
    <col min="13" max="13" width="8.625" style="23" customWidth="1"/>
    <col min="14" max="14" width="8.625" style="122" customWidth="1"/>
    <col min="15" max="16" width="7.625" style="61" customWidth="1"/>
    <col min="17" max="17" width="10.625" style="62" customWidth="1"/>
    <col min="18" max="18" width="40.625" style="22" customWidth="1"/>
    <col min="19" max="19" width="3.125" style="19" customWidth="1"/>
    <col min="20" max="27" width="3.125" style="19"/>
    <col min="28" max="49" width="3.125" style="19" customWidth="1"/>
    <col min="50" max="16384" width="3.125" style="19"/>
  </cols>
  <sheetData>
    <row r="1" spans="1:51" ht="20.100000000000001" customHeight="1">
      <c r="A1" s="83"/>
      <c r="B1" s="43"/>
      <c r="C1" s="43"/>
      <c r="D1" s="43"/>
      <c r="E1" s="43"/>
      <c r="F1" s="25"/>
      <c r="G1" s="84"/>
      <c r="H1" s="84"/>
      <c r="I1" s="84"/>
      <c r="J1" s="85"/>
      <c r="K1" s="87"/>
      <c r="L1" s="148"/>
      <c r="M1" s="111"/>
      <c r="N1" s="149"/>
      <c r="O1" s="150"/>
      <c r="P1" s="150"/>
      <c r="Q1" s="151"/>
      <c r="R1" s="152"/>
    </row>
    <row r="2" spans="1:51" ht="20.100000000000001" customHeight="1">
      <c r="A2" s="252" t="s">
        <v>57</v>
      </c>
      <c r="B2" s="252" t="s">
        <v>0</v>
      </c>
      <c r="C2" s="252" t="s">
        <v>137</v>
      </c>
      <c r="D2" s="254" t="s">
        <v>1</v>
      </c>
      <c r="E2" s="253" t="s">
        <v>56</v>
      </c>
      <c r="F2" s="123" t="s">
        <v>2</v>
      </c>
      <c r="G2" s="153"/>
      <c r="H2" s="153" t="s">
        <v>29</v>
      </c>
      <c r="I2" s="153"/>
      <c r="J2" s="141" t="s">
        <v>36</v>
      </c>
      <c r="K2" s="141"/>
      <c r="L2" s="267" t="s">
        <v>127</v>
      </c>
      <c r="M2" s="137" t="s">
        <v>186</v>
      </c>
      <c r="N2" s="155"/>
      <c r="O2" s="127" t="s">
        <v>187</v>
      </c>
      <c r="P2" s="156"/>
      <c r="Q2" s="248" t="s">
        <v>41</v>
      </c>
      <c r="R2" s="269" t="s">
        <v>31</v>
      </c>
    </row>
    <row r="3" spans="1:51" s="32" customFormat="1" ht="20.100000000000001" customHeight="1">
      <c r="A3" s="252"/>
      <c r="B3" s="252"/>
      <c r="C3" s="252"/>
      <c r="D3" s="252"/>
      <c r="E3" s="266"/>
      <c r="F3" s="130" t="s">
        <v>32</v>
      </c>
      <c r="G3" s="131" t="s">
        <v>33</v>
      </c>
      <c r="H3" s="130" t="s">
        <v>32</v>
      </c>
      <c r="I3" s="131" t="s">
        <v>33</v>
      </c>
      <c r="J3" s="132" t="s">
        <v>37</v>
      </c>
      <c r="K3" s="133" t="s">
        <v>38</v>
      </c>
      <c r="L3" s="253"/>
      <c r="M3" s="138" t="s">
        <v>140</v>
      </c>
      <c r="N3" s="135" t="s">
        <v>141</v>
      </c>
      <c r="O3" s="134" t="s">
        <v>34</v>
      </c>
      <c r="P3" s="136" t="s">
        <v>35</v>
      </c>
      <c r="Q3" s="268"/>
      <c r="R3" s="270"/>
      <c r="S3" s="242">
        <v>44075</v>
      </c>
      <c r="T3" s="243"/>
      <c r="U3" s="243"/>
      <c r="V3" s="243"/>
      <c r="W3" s="243"/>
      <c r="X3" s="243"/>
      <c r="Y3" s="243"/>
      <c r="Z3" s="243"/>
      <c r="AA3" s="243"/>
      <c r="AB3" s="243"/>
      <c r="AC3" s="243"/>
      <c r="AD3" s="243"/>
      <c r="AE3" s="243"/>
      <c r="AF3" s="243"/>
      <c r="AG3" s="243"/>
      <c r="AH3" s="243"/>
      <c r="AI3" s="243"/>
      <c r="AJ3" s="243"/>
      <c r="AK3" s="243"/>
      <c r="AL3" s="243"/>
      <c r="AM3" s="243"/>
      <c r="AN3" s="243"/>
      <c r="AO3" s="243"/>
      <c r="AP3" s="243"/>
      <c r="AQ3" s="243"/>
      <c r="AR3" s="243"/>
      <c r="AS3" s="243"/>
      <c r="AT3" s="243"/>
      <c r="AU3" s="243"/>
      <c r="AV3" s="162"/>
      <c r="AW3" s="244">
        <v>44105</v>
      </c>
      <c r="AX3" s="243"/>
      <c r="AY3" s="245"/>
    </row>
    <row r="4" spans="1:51" s="33" customFormat="1" ht="20.100000000000001" customHeight="1">
      <c r="A4" s="20"/>
      <c r="B4" s="20"/>
      <c r="C4" s="20"/>
      <c r="D4" s="140"/>
      <c r="E4" s="154"/>
      <c r="F4" s="27"/>
      <c r="G4" s="116"/>
      <c r="H4" s="27"/>
      <c r="I4" s="116"/>
      <c r="J4" s="31"/>
      <c r="K4" s="117"/>
      <c r="L4" s="142"/>
      <c r="M4" s="143"/>
      <c r="N4" s="144"/>
      <c r="O4" s="145"/>
      <c r="P4" s="145"/>
      <c r="Q4" s="146"/>
      <c r="R4" s="147"/>
      <c r="S4" s="114">
        <v>44075</v>
      </c>
      <c r="T4" s="80">
        <v>44076</v>
      </c>
      <c r="U4" s="80">
        <v>44077</v>
      </c>
      <c r="V4" s="80">
        <v>44078</v>
      </c>
      <c r="W4" s="81">
        <v>44079</v>
      </c>
      <c r="X4" s="79">
        <v>44080</v>
      </c>
      <c r="Y4" s="80">
        <v>44081</v>
      </c>
      <c r="Z4" s="80">
        <v>44082</v>
      </c>
      <c r="AA4" s="80">
        <v>44083</v>
      </c>
      <c r="AB4" s="80">
        <v>44084</v>
      </c>
      <c r="AC4" s="80">
        <v>44085</v>
      </c>
      <c r="AD4" s="81">
        <v>44086</v>
      </c>
      <c r="AE4" s="79">
        <v>44087</v>
      </c>
      <c r="AF4" s="80">
        <v>44088</v>
      </c>
      <c r="AG4" s="80">
        <v>44089</v>
      </c>
      <c r="AH4" s="80">
        <v>44090</v>
      </c>
      <c r="AI4" s="80">
        <v>44091</v>
      </c>
      <c r="AJ4" s="80">
        <v>44092</v>
      </c>
      <c r="AK4" s="81">
        <v>44093</v>
      </c>
      <c r="AL4" s="79">
        <v>44094</v>
      </c>
      <c r="AM4" s="79">
        <v>44095</v>
      </c>
      <c r="AN4" s="79">
        <v>44096</v>
      </c>
      <c r="AO4" s="80">
        <v>44097</v>
      </c>
      <c r="AP4" s="80">
        <v>44098</v>
      </c>
      <c r="AQ4" s="80">
        <v>44099</v>
      </c>
      <c r="AR4" s="81">
        <v>44100</v>
      </c>
      <c r="AS4" s="79">
        <v>44101</v>
      </c>
      <c r="AT4" s="80">
        <v>44102</v>
      </c>
      <c r="AU4" s="80">
        <v>44103</v>
      </c>
      <c r="AV4" s="80">
        <v>44104</v>
      </c>
      <c r="AW4" s="82">
        <v>44105</v>
      </c>
      <c r="AX4" s="80">
        <v>44106</v>
      </c>
      <c r="AY4" s="213">
        <v>44107</v>
      </c>
    </row>
    <row r="5" spans="1:51" ht="35.1" customHeight="1">
      <c r="A5" s="159" t="s">
        <v>26</v>
      </c>
      <c r="B5" s="160"/>
      <c r="C5" s="160"/>
      <c r="D5" s="160"/>
      <c r="E5" s="39"/>
      <c r="F5" s="45"/>
      <c r="G5" s="45"/>
      <c r="H5" s="45"/>
      <c r="I5" s="45"/>
      <c r="J5" s="56"/>
      <c r="K5" s="52"/>
      <c r="L5" s="39"/>
      <c r="M5" s="39"/>
      <c r="N5" s="120"/>
      <c r="O5" s="48"/>
      <c r="P5" s="48"/>
      <c r="Q5" s="50"/>
      <c r="R5" s="39"/>
      <c r="S5" s="114"/>
      <c r="T5" s="80"/>
      <c r="U5" s="80"/>
      <c r="V5" s="80"/>
      <c r="W5" s="81"/>
      <c r="X5" s="79"/>
      <c r="Y5" s="80"/>
      <c r="Z5" s="80"/>
      <c r="AA5" s="80"/>
      <c r="AB5" s="80"/>
      <c r="AC5" s="80"/>
      <c r="AD5" s="81"/>
      <c r="AE5" s="79"/>
      <c r="AF5" s="80"/>
      <c r="AG5" s="80"/>
      <c r="AH5" s="80"/>
      <c r="AI5" s="80"/>
      <c r="AJ5" s="80"/>
      <c r="AK5" s="81"/>
      <c r="AL5" s="79"/>
      <c r="AM5" s="79"/>
      <c r="AN5" s="79"/>
      <c r="AO5" s="80"/>
      <c r="AP5" s="80"/>
      <c r="AQ5" s="80"/>
      <c r="AR5" s="81"/>
      <c r="AS5" s="79"/>
      <c r="AT5" s="80"/>
      <c r="AU5" s="80"/>
      <c r="AV5" s="80"/>
      <c r="AW5" s="82"/>
      <c r="AX5" s="80"/>
      <c r="AY5" s="213"/>
    </row>
    <row r="6" spans="1:51" s="33" customFormat="1" ht="20.100000000000001" customHeight="1">
      <c r="A6" s="171">
        <f t="shared" ref="A6:A11" si="0">ROW()-5</f>
        <v>1</v>
      </c>
      <c r="B6" s="171">
        <v>3</v>
      </c>
      <c r="C6" s="171"/>
      <c r="D6" s="262" t="s">
        <v>163</v>
      </c>
      <c r="E6" s="157" t="s">
        <v>97</v>
      </c>
      <c r="F6" s="27">
        <v>44075</v>
      </c>
      <c r="G6" s="214">
        <v>44077</v>
      </c>
      <c r="H6" s="27"/>
      <c r="I6" s="214"/>
      <c r="J6" s="31"/>
      <c r="K6" s="215">
        <v>0</v>
      </c>
      <c r="L6" s="142"/>
      <c r="M6" s="143">
        <v>7</v>
      </c>
      <c r="N6" s="144"/>
      <c r="O6" s="145">
        <v>3</v>
      </c>
      <c r="P6" s="145">
        <v>3</v>
      </c>
      <c r="Q6" s="146">
        <v>-3</v>
      </c>
      <c r="R6" s="147"/>
      <c r="S6" s="114"/>
      <c r="T6" s="80"/>
      <c r="U6" s="80"/>
      <c r="V6" s="80"/>
      <c r="W6" s="81"/>
      <c r="X6" s="79"/>
      <c r="Y6" s="80"/>
      <c r="Z6" s="80"/>
      <c r="AA6" s="80"/>
      <c r="AB6" s="80"/>
      <c r="AC6" s="80"/>
      <c r="AD6" s="81"/>
      <c r="AE6" s="79"/>
      <c r="AF6" s="80"/>
      <c r="AG6" s="80"/>
      <c r="AH6" s="80"/>
      <c r="AI6" s="80"/>
      <c r="AJ6" s="80"/>
      <c r="AK6" s="81"/>
      <c r="AL6" s="79"/>
      <c r="AM6" s="79"/>
      <c r="AN6" s="79"/>
      <c r="AO6" s="80"/>
      <c r="AP6" s="80"/>
      <c r="AQ6" s="80"/>
      <c r="AR6" s="81"/>
      <c r="AS6" s="79"/>
      <c r="AT6" s="80"/>
      <c r="AU6" s="80"/>
      <c r="AV6" s="80"/>
      <c r="AW6" s="82"/>
      <c r="AX6" s="80"/>
      <c r="AY6" s="213"/>
    </row>
    <row r="7" spans="1:51" s="33" customFormat="1" ht="20.100000000000001" customHeight="1">
      <c r="A7" s="171">
        <f t="shared" si="0"/>
        <v>2</v>
      </c>
      <c r="B7" s="171">
        <v>4</v>
      </c>
      <c r="C7" s="171"/>
      <c r="D7" s="263"/>
      <c r="E7" s="158" t="s">
        <v>97</v>
      </c>
      <c r="F7" s="27">
        <v>44088</v>
      </c>
      <c r="G7" s="214">
        <v>44089</v>
      </c>
      <c r="H7" s="27"/>
      <c r="I7" s="214"/>
      <c r="J7" s="31"/>
      <c r="K7" s="215"/>
      <c r="L7" s="142"/>
      <c r="M7" s="143">
        <v>12</v>
      </c>
      <c r="N7" s="144"/>
      <c r="O7" s="145">
        <v>2</v>
      </c>
      <c r="P7" s="145"/>
      <c r="Q7" s="146"/>
      <c r="R7" s="147"/>
      <c r="S7" s="114"/>
      <c r="T7" s="80"/>
      <c r="U7" s="80"/>
      <c r="V7" s="80"/>
      <c r="W7" s="81"/>
      <c r="X7" s="79"/>
      <c r="Y7" s="80"/>
      <c r="Z7" s="80"/>
      <c r="AA7" s="80"/>
      <c r="AB7" s="80"/>
      <c r="AC7" s="80"/>
      <c r="AD7" s="81"/>
      <c r="AE7" s="79"/>
      <c r="AF7" s="80"/>
      <c r="AG7" s="80"/>
      <c r="AH7" s="80"/>
      <c r="AI7" s="80"/>
      <c r="AJ7" s="80"/>
      <c r="AK7" s="81"/>
      <c r="AL7" s="79"/>
      <c r="AM7" s="79"/>
      <c r="AN7" s="79"/>
      <c r="AO7" s="80"/>
      <c r="AP7" s="80"/>
      <c r="AQ7" s="80"/>
      <c r="AR7" s="81"/>
      <c r="AS7" s="79"/>
      <c r="AT7" s="80"/>
      <c r="AU7" s="80"/>
      <c r="AV7" s="80"/>
      <c r="AW7" s="82"/>
      <c r="AX7" s="80"/>
      <c r="AY7" s="213"/>
    </row>
    <row r="8" spans="1:51" s="33" customFormat="1" ht="20.100000000000001" customHeight="1" thickBot="1">
      <c r="A8" s="172">
        <f t="shared" si="0"/>
        <v>3</v>
      </c>
      <c r="B8" s="172">
        <v>4</v>
      </c>
      <c r="C8" s="172"/>
      <c r="D8" s="264"/>
      <c r="E8" s="184" t="s">
        <v>99</v>
      </c>
      <c r="F8" s="185">
        <v>44092</v>
      </c>
      <c r="G8" s="216">
        <v>44097</v>
      </c>
      <c r="H8" s="185"/>
      <c r="I8" s="216"/>
      <c r="J8" s="186"/>
      <c r="K8" s="217"/>
      <c r="L8" s="187"/>
      <c r="M8" s="188">
        <v>12</v>
      </c>
      <c r="N8" s="189"/>
      <c r="O8" s="190">
        <v>2</v>
      </c>
      <c r="P8" s="190"/>
      <c r="Q8" s="191"/>
      <c r="R8" s="192"/>
      <c r="S8" s="193"/>
      <c r="T8" s="194"/>
      <c r="U8" s="194"/>
      <c r="V8" s="194"/>
      <c r="W8" s="195"/>
      <c r="X8" s="196"/>
      <c r="Y8" s="194"/>
      <c r="Z8" s="194"/>
      <c r="AA8" s="194"/>
      <c r="AB8" s="194"/>
      <c r="AC8" s="194"/>
      <c r="AD8" s="195"/>
      <c r="AE8" s="196"/>
      <c r="AF8" s="194"/>
      <c r="AG8" s="194"/>
      <c r="AH8" s="194"/>
      <c r="AI8" s="194"/>
      <c r="AJ8" s="194"/>
      <c r="AK8" s="195"/>
      <c r="AL8" s="196"/>
      <c r="AM8" s="196"/>
      <c r="AN8" s="196"/>
      <c r="AO8" s="194"/>
      <c r="AP8" s="194"/>
      <c r="AQ8" s="194"/>
      <c r="AR8" s="195"/>
      <c r="AS8" s="196"/>
      <c r="AT8" s="194"/>
      <c r="AU8" s="194"/>
      <c r="AV8" s="194"/>
      <c r="AW8" s="197"/>
      <c r="AX8" s="194"/>
      <c r="AY8" s="218"/>
    </row>
    <row r="9" spans="1:51" s="33" customFormat="1" ht="20.100000000000001" customHeight="1" thickTop="1">
      <c r="A9" s="173">
        <f t="shared" si="0"/>
        <v>4</v>
      </c>
      <c r="B9" s="173">
        <v>3</v>
      </c>
      <c r="C9" s="173"/>
      <c r="D9" s="265" t="s">
        <v>164</v>
      </c>
      <c r="E9" s="198" t="s">
        <v>98</v>
      </c>
      <c r="F9" s="199">
        <v>44078</v>
      </c>
      <c r="G9" s="219">
        <v>44081</v>
      </c>
      <c r="H9" s="199"/>
      <c r="I9" s="219"/>
      <c r="J9" s="200"/>
      <c r="K9" s="220"/>
      <c r="L9" s="201"/>
      <c r="M9" s="202">
        <v>7</v>
      </c>
      <c r="N9" s="203"/>
      <c r="O9" s="204">
        <v>2</v>
      </c>
      <c r="P9" s="204"/>
      <c r="Q9" s="205"/>
      <c r="R9" s="206"/>
      <c r="S9" s="207"/>
      <c r="T9" s="208"/>
      <c r="U9" s="208"/>
      <c r="V9" s="208"/>
      <c r="W9" s="209"/>
      <c r="X9" s="210"/>
      <c r="Y9" s="208"/>
      <c r="Z9" s="208"/>
      <c r="AA9" s="208"/>
      <c r="AB9" s="208"/>
      <c r="AC9" s="208"/>
      <c r="AD9" s="209"/>
      <c r="AE9" s="210"/>
      <c r="AF9" s="208"/>
      <c r="AG9" s="208"/>
      <c r="AH9" s="208"/>
      <c r="AI9" s="208"/>
      <c r="AJ9" s="208"/>
      <c r="AK9" s="209"/>
      <c r="AL9" s="210"/>
      <c r="AM9" s="210"/>
      <c r="AN9" s="210"/>
      <c r="AO9" s="208"/>
      <c r="AP9" s="208"/>
      <c r="AQ9" s="208"/>
      <c r="AR9" s="209"/>
      <c r="AS9" s="210"/>
      <c r="AT9" s="208"/>
      <c r="AU9" s="208"/>
      <c r="AV9" s="208"/>
      <c r="AW9" s="211"/>
      <c r="AX9" s="208"/>
      <c r="AY9" s="221"/>
    </row>
    <row r="10" spans="1:51" s="33" customFormat="1" ht="20.100000000000001" customHeight="1" thickBot="1">
      <c r="A10" s="172">
        <f t="shared" si="0"/>
        <v>5</v>
      </c>
      <c r="B10" s="172">
        <v>4</v>
      </c>
      <c r="C10" s="172"/>
      <c r="D10" s="264"/>
      <c r="E10" s="184" t="s">
        <v>98</v>
      </c>
      <c r="F10" s="185">
        <v>44090</v>
      </c>
      <c r="G10" s="216">
        <v>44091</v>
      </c>
      <c r="H10" s="185"/>
      <c r="I10" s="216"/>
      <c r="J10" s="186"/>
      <c r="K10" s="217"/>
      <c r="L10" s="187"/>
      <c r="M10" s="188">
        <v>12</v>
      </c>
      <c r="N10" s="189"/>
      <c r="O10" s="190">
        <v>2</v>
      </c>
      <c r="P10" s="190"/>
      <c r="Q10" s="191"/>
      <c r="R10" s="192"/>
      <c r="S10" s="193"/>
      <c r="T10" s="194"/>
      <c r="U10" s="194"/>
      <c r="V10" s="194"/>
      <c r="W10" s="195"/>
      <c r="X10" s="196"/>
      <c r="Y10" s="194"/>
      <c r="Z10" s="194"/>
      <c r="AA10" s="194"/>
      <c r="AB10" s="194"/>
      <c r="AC10" s="194"/>
      <c r="AD10" s="195"/>
      <c r="AE10" s="196"/>
      <c r="AF10" s="194"/>
      <c r="AG10" s="194"/>
      <c r="AH10" s="194"/>
      <c r="AI10" s="194"/>
      <c r="AJ10" s="194"/>
      <c r="AK10" s="195"/>
      <c r="AL10" s="196"/>
      <c r="AM10" s="196"/>
      <c r="AN10" s="196"/>
      <c r="AO10" s="194"/>
      <c r="AP10" s="194"/>
      <c r="AQ10" s="194"/>
      <c r="AR10" s="195"/>
      <c r="AS10" s="196"/>
      <c r="AT10" s="194"/>
      <c r="AU10" s="194"/>
      <c r="AV10" s="194"/>
      <c r="AW10" s="197"/>
      <c r="AX10" s="194"/>
      <c r="AY10" s="218"/>
    </row>
    <row r="11" spans="1:51" s="33" customFormat="1" ht="20.100000000000001" customHeight="1" thickTop="1">
      <c r="A11" s="161">
        <f t="shared" si="0"/>
        <v>6</v>
      </c>
      <c r="B11" s="161">
        <v>3</v>
      </c>
      <c r="C11" s="161"/>
      <c r="D11" s="170" t="s">
        <v>168</v>
      </c>
      <c r="E11" s="174" t="s">
        <v>99</v>
      </c>
      <c r="F11" s="175">
        <v>44082</v>
      </c>
      <c r="G11" s="176">
        <v>44085</v>
      </c>
      <c r="H11" s="175"/>
      <c r="I11" s="176"/>
      <c r="J11" s="177"/>
      <c r="K11" s="178"/>
      <c r="L11" s="179"/>
      <c r="M11" s="180">
        <v>7</v>
      </c>
      <c r="N11" s="181"/>
      <c r="O11" s="182">
        <v>4</v>
      </c>
      <c r="P11" s="182"/>
      <c r="Q11" s="183"/>
      <c r="R11" s="169"/>
      <c r="S11" s="164"/>
      <c r="T11" s="165"/>
      <c r="U11" s="165"/>
      <c r="V11" s="165"/>
      <c r="W11" s="166"/>
      <c r="X11" s="167"/>
      <c r="Y11" s="165"/>
      <c r="Z11" s="165"/>
      <c r="AA11" s="165"/>
      <c r="AB11" s="165"/>
      <c r="AC11" s="165"/>
      <c r="AD11" s="166"/>
      <c r="AE11" s="167"/>
      <c r="AF11" s="165"/>
      <c r="AG11" s="165"/>
      <c r="AH11" s="165"/>
      <c r="AI11" s="165"/>
      <c r="AJ11" s="165"/>
      <c r="AK11" s="166"/>
      <c r="AL11" s="167"/>
      <c r="AM11" s="167"/>
      <c r="AN11" s="167"/>
      <c r="AO11" s="165"/>
      <c r="AP11" s="165"/>
      <c r="AQ11" s="165"/>
      <c r="AR11" s="166"/>
      <c r="AS11" s="167"/>
      <c r="AT11" s="165"/>
      <c r="AU11" s="165"/>
      <c r="AV11" s="165"/>
      <c r="AW11" s="168"/>
      <c r="AX11" s="165"/>
      <c r="AY11" s="212"/>
    </row>
  </sheetData>
  <sheetProtection formatColumns="0" formatRows="0" autoFilter="0"/>
  <mergeCells count="12">
    <mergeCell ref="D6:D8"/>
    <mergeCell ref="D9:D10"/>
    <mergeCell ref="S3:AU3"/>
    <mergeCell ref="AW3:AY3"/>
    <mergeCell ref="A2:A3"/>
    <mergeCell ref="B2:B3"/>
    <mergeCell ref="C2:C3"/>
    <mergeCell ref="E2:E3"/>
    <mergeCell ref="D2:D3"/>
    <mergeCell ref="L2:L3"/>
    <mergeCell ref="Q2:Q3"/>
    <mergeCell ref="R2:R3"/>
  </mergeCells>
  <phoneticPr fontId="22"/>
  <dataValidations count="4">
    <dataValidation imeMode="off" allowBlank="1" showInputMessage="1" showErrorMessage="1" sqref="H4:Q5 R4 C4 F4:G4"/>
    <dataValidation imeMode="on" allowBlank="1" showInputMessage="1" showErrorMessage="1" sqref="E2:E3 D1:D4"/>
    <dataValidation imeMode="disabled" allowBlank="1" showInputMessage="1" showErrorMessage="1" sqref="B2:B3"/>
    <dataValidation imeMode="on" allowBlank="1" showInputMessage="1" showErrorMessage="1" sqref="E6:E11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button id="S_B002" size="large" label="オプション&#13;&#10;" onAction="ctl_ribbon.dispOption" supertip="オプション設定画面を表示します" imageMso="AnimationCustomAddActionVerbDialog"/>
          <button id="S_B003" size="large" label="カレンダー生成&#13;&#10;" onAction="ctl_ribbon.makeCalendar" supertip="設定された期間のカレンダーを生成します" imageMso="CalendarMonthDetailsSplitButton"/>
          <splitButton id="S_SB001" size="large">
            <button id="S_B004" label="ガント&#13;&#10;チャート" onAction="ctl_ribbon.viewNormal" supertip="ガントチャートを表示します" imageMso="GanttChartViewGallery"/>
            <menu id="S_M100" itemSize="large">
              <button id="S_B005" label="タスクシート" onAction="ctl_ribbon.viewTask" supertip="タスク編集モードに変更します" imageMso="MenuDailyTaskList"/>
              <button id="S_B006" label="リソースシート" onAction="ctl_ribbon.viewResources" supertip="担当者編集モードに変更します" imageMso="TeamPlannerViewGallery"/>
              <button id="S_B007" label="設定" onAction="ctl_ribbon.viewSetting" supertip="表示項目設定" imageMso="AnimationCustomAddActionVerbDialog"/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/>
          </menu>
          <menu id="E_M001" label="エクスポート&#13;&#10;" size="large" itemSize="large" supertip="ファイルをエクスポート" imageMso="CalendarToolExportAllAppointments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進捗管理" visible="true">
      <firstColumn>
        <group id="grp1" label="更新情報" visible="true">
          <topItems>
            <labelControl id="v104-01" label="Ver.1.04　休日をマクロで設定するように変更"/>
            <labelControl id="v104-02" label="        　土日祝を色付け、リボンメニュー対応"/>
          </topItems>
        </group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VBA/tree/master/WB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42</vt:i4>
      </vt:variant>
    </vt:vector>
  </HeadingPairs>
  <TitlesOfParts>
    <vt:vector size="48" baseType="lpstr">
      <vt:lpstr>Help</vt:lpstr>
      <vt:lpstr>Tmp</vt:lpstr>
      <vt:lpstr>Notice</vt:lpstr>
      <vt:lpstr>設定</vt:lpstr>
      <vt:lpstr>メイン</vt:lpstr>
      <vt:lpstr>WBS (サンプル)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cell_PlanStart</vt:lpstr>
      <vt:lpstr>cell_ShortcutList</vt:lpstr>
      <vt:lpstr>cell_TaskArea</vt:lpstr>
      <vt:lpstr>CompanyHolidayColor</vt:lpstr>
      <vt:lpstr>debugMode</vt:lpstr>
      <vt:lpstr>endDay</vt:lpstr>
      <vt:lpstr>ganttChartLineType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SaturdayColor</vt:lpstr>
      <vt:lpstr>setDispProgress100</vt:lpstr>
      <vt:lpstr>setLightning</vt:lpstr>
      <vt:lpstr>sheetRangeStartCell</vt:lpstr>
      <vt:lpstr>startDay</vt:lpstr>
      <vt:lpstr>SundayColor</vt:lpstr>
      <vt:lpstr>view_Achievement</vt:lpstr>
      <vt:lpstr>view_Assign</vt:lpstr>
      <vt:lpstr>view_LateOrEarly</vt:lpstr>
      <vt:lpstr>view_Note</vt:lpstr>
      <vt:lpstr>view_Plan</vt:lpstr>
      <vt:lpstr>view_Progress</vt:lpstr>
      <vt:lpstr>view_Task</vt:lpstr>
      <vt:lpstr>view_TaskInfo</vt:lpstr>
      <vt:lpstr>view_WorkLoad</vt:lpstr>
      <vt:lpstr>viewGant_Assignor</vt:lpstr>
      <vt:lpstr>viewGant_TaskName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2020-09-07T02:35:58Z</dcterms:modified>
</cp:coreProperties>
</file>