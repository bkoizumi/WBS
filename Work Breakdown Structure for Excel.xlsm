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91800" windowWidth="28800" windowHeight="12270" tabRatio="627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definedNames>
    <definedName name="baseDay">設定!$B$25</definedName>
    <definedName name="calendarEndCol">設定!$B$12</definedName>
    <definedName name="cell_AssignorList">設定!$B$15</definedName>
    <definedName name="cell_CompanyHoliday">設定!$B$17</definedName>
    <definedName name="cell_DataExtract">設定!$B$20</definedName>
    <definedName name="cell_HolidayListDay">設定!$B$18</definedName>
    <definedName name="cell_HolidayListName">設定!$B$19</definedName>
    <definedName name="cell_Info">設定!$B$9</definedName>
    <definedName name="cell_LevelInfo">設定!$B$8</definedName>
    <definedName name="cell_LineInfo">設定!$B$10</definedName>
    <definedName name="cell_PlanStart">設定!$B$60</definedName>
    <definedName name="cell_ShortcutFuncName">設定!$B$13</definedName>
    <definedName name="cell_ShortcutKey">設定!$B$14</definedName>
    <definedName name="cell_TaskArea">設定!$B$11</definedName>
    <definedName name="cell_unitCostorList">設定!$B$16</definedName>
    <definedName name="centerKey">設定!$I$4</definedName>
    <definedName name="clearFilterKey">設定!$I$6</definedName>
    <definedName name="clearGanttKey">設定!$I$9</definedName>
    <definedName name="CompanyHolidayColor">設定!$B$30</definedName>
    <definedName name="debugMode">設定!$B$3</definedName>
    <definedName name="dispAllKey">設定!$I$10</definedName>
    <definedName name="endDay">設定!$B$24</definedName>
    <definedName name="filterKey">設定!$I$5</definedName>
    <definedName name="lineColor">設定!$B$27</definedName>
    <definedName name="lineColor_Achievement">設定!$B$32</definedName>
    <definedName name="lineColor_Lightning">設定!$B$33</definedName>
    <definedName name="lineColor_Plan">設定!$B$31</definedName>
    <definedName name="lineColor_TaskLevel1">設定!$B$34</definedName>
    <definedName name="lineColor_TaskLevel2">設定!$B$35</definedName>
    <definedName name="lineColor_TaskLevel3">設定!$B$36</definedName>
    <definedName name="lineColorFlg">設定!$B$22</definedName>
    <definedName name="makeGanttKey">設定!$I$8</definedName>
    <definedName name="optionKey">設定!$I$3</definedName>
    <definedName name="SaturdayColor">設定!$B$28</definedName>
    <definedName name="ScaleKey">設定!$I$12</definedName>
    <definedName name="setDispProgress100">設定!$B$26</definedName>
    <definedName name="setLightning">設定!$B$21</definedName>
    <definedName name="sheetRangeStartCell">設定!$B$4</definedName>
    <definedName name="startDay">設定!$B$23</definedName>
    <definedName name="SundayColor">設定!$B$29</definedName>
    <definedName name="taskCheckKey">設定!$I$7</definedName>
    <definedName name="taskControlKey">設定!$I$11</definedName>
    <definedName name="TaskInfoStr_Change">設定!$B$6</definedName>
    <definedName name="TaskInfoStr_Multi">設定!$B$5</definedName>
    <definedName name="TaskInfoStr_TimeLine">設定!$B$7</definedName>
    <definedName name="view_Achievement">設定!$B$40</definedName>
    <definedName name="view_Assign">設定!$B$38</definedName>
    <definedName name="view_LateOrEarly">設定!$B$45</definedName>
    <definedName name="view_LineInfo">設定!$B$47</definedName>
    <definedName name="view_Note">設定!$B$46</definedName>
    <definedName name="view_Plan">設定!$B$37</definedName>
    <definedName name="view_Progress">設定!$B$39</definedName>
    <definedName name="view_Task">設定!$B$41</definedName>
    <definedName name="view_TaskAllocation">設定!$B$43</definedName>
    <definedName name="view_TaskInfo">設定!$B$42</definedName>
    <definedName name="view_WorkLoad">設定!$B$44</definedName>
    <definedName name="viewGant_Assignor">設定!$B$49</definedName>
    <definedName name="viewGant_TaskName">設定!$B$48</definedName>
    <definedName name="休日リスト">設定!$O$3:$O$10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  <c r="B16" i="7"/>
  <c r="B11" i="7"/>
  <c r="B13" i="7"/>
  <c r="B9" i="7"/>
  <c r="B8" i="7"/>
  <c r="B7" i="7"/>
  <c r="B10" i="7"/>
  <c r="B18" i="7"/>
  <c r="B17" i="7"/>
  <c r="B19" i="7"/>
  <c r="B15" i="7"/>
  <c r="B14" i="7"/>
  <c r="B6" i="7"/>
  <c r="B12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<sst xmlns="http://schemas.openxmlformats.org/spreadsheetml/2006/main" count="405" uniqueCount="319">
  <si>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</si>
  <si>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</si>
  <si>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</si>
  <si>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</si>
  <si>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</si>
  <si>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</si>
  <si>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</si>
  <si>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</si>
  <si>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</si>
  <si>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</si>
  <si>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</si>
  <si>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</si>
  <si>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</si>
  <si>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</si>
  <si>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</si>
  <si>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</si>
  <si>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</si>
  <si>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</si>
  <si>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</si>
  <si>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</si>
  <si>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</si>
  <si>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</si>
  <si>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</si>
  <si>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</si>
  <si>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</si>
  <si>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</si>
  <si>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</si>
  <si>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</si>
  <si>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</si>
  <si>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</si>
  <si>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</si>
  <si>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</si>
  <si>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</si>
  <si>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</si>
  <si>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</si>
  <si>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</si>
  <si>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</si>
  <si>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</si>
  <si>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</si>
  <si>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</si>
  <si>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</si>
  <si>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</si>
  <si>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</si>
  <si>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</si>
  <si>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</si>
  <si>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</si>
  <si>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</si>
  <si>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</si>
  <si>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</si>
  <si>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</si>
  <si>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</si>
  <si>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</si>
  <si>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</si>
  <si>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</si>
  <si>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</si>
  <si>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</si>
  <si>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</si>
  <si>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</si>
  <si>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</si>
  <si>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</si>
  <si>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</si>
  <si>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</si>
  <si>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</si>
  <si>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</si>
  <si>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</si>
  <si>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</si>
  <si>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</si>
  <si>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</si>
  <si>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</si>
  <si>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</si>
  <si>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</si>
  <si>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</si>
  <si>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</si>
  <si>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</si>
  <si>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</si>
  <si>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</si>
  <si>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</si>
  <si>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</si>
  <si>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</si>
  <si>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</si>
  <si>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</si>
  <si>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</si>
  <si>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</si>
  <si>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</si>
  <si>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</si>
  <si>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</si>
  <si>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</si>
  <si>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</si>
  <si>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</si>
  <si>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</si>
  <si>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</si>
  <si>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</si>
  <si>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</si>
  <si>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</si>
  <si>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</si>
  <si>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</si>
  <si>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</si>
  <si>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</si>
  <si>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</si>
  <si>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</si>
  <si>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</si>
  <si>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</si>
  <si>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</si>
  <si>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</si>
  <si>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</si>
  <si>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</si>
  <si>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</si>
  <si>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</si>
  <si>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</si>
  <si>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</si>
  <si>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</si>
  <si>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</si>
  <si>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</si>
  <si>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</si>
  <si>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</si>
  <si>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</si>
  <si>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</si>
  <si>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</si>
  <si>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</si>
  <si>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</si>
  <si>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</si>
  <si>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</si>
  <si>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</si>
  <si>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</si>
  <si>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</si>
  <si>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</si>
  <si>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</si>
  <si>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</si>
  <si>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</si>
  <si>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</si>
  <si>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</si>
  <si>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</si>
  <si>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</si>
  <si>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</si>
  <si>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</si>
  <si>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</si>
  <si>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</si>
  <si>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</si>
  <si>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</si>
  <si>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</si>
  <si>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</si>
  <si>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</si>
  <si>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</si>
  <si>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</si>
  <si>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</si>
  <si>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</si>
  <si>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</si>
  <si>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</si>
  <si>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</si>
  <si>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</si>
  <si>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</si>
  <si>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</si>
  <si>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</si>
  <si>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</si>
  <si>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</si>
  <si>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</si>
  <si>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</si>
  <si>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</si>
  <si>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</si>
  <si>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</si>
  <si>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</si>
  <si>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</si>
  <si>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</si>
  <si>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</si>
  <si>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</si>
  <si>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</si>
  <si>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</si>
  <si>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</si>
  <si>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</si>
  <si>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</si>
  <si>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</si>
  <si>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</si>
  <si>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</si>
  <si>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</si>
  <si>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</si>
  <si>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</si>
  <si>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</si>
  <si>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</si>
  <si>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</si>
  <si>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</si>
  <si>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</si>
  <si>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</si>
  <si>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</si>
  <si>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</si>
  <si>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</si>
  <si>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</si>
  <si>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</si>
  <si>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</si>
  <si>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</si>
  <si>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</si>
  <si>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</si>
  <si>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</si>
  <si>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</si>
  <si>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</si>
  <si>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</si>
  <si>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</si>
  <si>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</si>
  <si>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</si>
  <si>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</si>
  <si>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</si>
  <si>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</si>
  <si>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</si>
  <si>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</si>
  <si>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</si>
  <si>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</si>
  <si>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</si>
  <si>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</si>
  <si>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</si>
  <si>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</si>
  <si>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</si>
  <si>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</si>
  <si>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</si>
  <si>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</si>
  <si>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</si>
  <si>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</si>
  <si>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</si>
  <si>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</si>
  <si>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</si>
  <si>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</si>
  <si>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</si>
  <si>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</si>
  <si>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</si>
  <si>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</si>
  <si>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</si>
  <si>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</si>
  <si>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</si>
  <si>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</si>
  <si>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</si>
  <si>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</si>
  <si>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</si>
  <si>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</si>
  <si>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</si>
  <si>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</si>
  <si>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</si>
  <si>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</si>
  <si>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</si>
  <si>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</si>
  <si>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Mlt</t>
  </si>
  <si>
    <t>デザイン制作_A、B、外A</t>
  </si>
  <si>
    <t>デザイン修正_E</t>
  </si>
  <si>
    <t>デザイン制作_I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</si>
  <si>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</si>
  <si>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</si>
  <si>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</si>
  <si>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</si>
  <si>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</si>
  <si>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</si>
  <si>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</si>
  <si>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</si>
  <si>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</si>
  <si>
    <t>タスク_E</t>
    <phoneticPr fontId="9"/>
  </si>
  <si>
    <t>タスク_I</t>
  </si>
  <si>
    <t>タスク_I</t>
    <phoneticPr fontId="9"/>
  </si>
  <si>
    <t>デザイン修正_H</t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</si>
  <si>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</si>
  <si>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</si>
  <si>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</si>
  <si>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</si>
  <si>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</si>
  <si>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</si>
  <si>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</si>
  <si>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</si>
  <si>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</si>
  <si>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</si>
  <si>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</si>
  <si>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</si>
  <si>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</si>
  <si>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</si>
  <si>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</si>
  <si>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</si>
  <si>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</si>
  <si>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</si>
  <si>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</si>
  <si>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</si>
  <si>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</si>
  <si>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</si>
  <si>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</si>
  <si>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</si>
  <si>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</si>
  <si>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</si>
  <si>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</si>
  <si>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</si>
  <si>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</si>
  <si>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デザイン制作_E</t>
  </si>
  <si>
    <t>cell_Task</t>
  </si>
  <si>
    <t>cell_TaskAllocation</t>
  </si>
  <si>
    <t>none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</si>
  <si>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</si>
  <si>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</si>
  <si>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</si>
  <si>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</si>
  <si>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</si>
  <si>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</si>
  <si>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</si>
  <si>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</si>
  <si>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</si>
  <si>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</si>
  <si>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</si>
  <si>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</si>
  <si>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</si>
  <si>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</si>
  <si>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</si>
  <si>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</si>
  <si>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</si>
  <si>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</si>
  <si>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</si>
  <si>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</si>
  <si>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</si>
  <si>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</si>
  <si>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</si>
  <si>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</si>
  <si>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敬老の日</t>
  </si>
  <si>
    <t>秋分の日</t>
  </si>
  <si>
    <t>体育の日</t>
  </si>
  <si>
    <t>%%シートが存在しません</t>
    <rPh sb="6" eb="8">
      <t>ソンザイ</t>
    </rPh>
    <phoneticPr fontId="26"/>
  </si>
  <si>
    <t>海の日</t>
  </si>
  <si>
    <t>スポーツの日</t>
  </si>
  <si>
    <t>会社指定休日</t>
  </si>
  <si>
    <t>EW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</si>
</sst>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  <font>
      <u/>
      <sz val="10"/>
      <color theme="11"/>
      <name val="メイリオ"/>
      <family val="3"/>
      <charset val="128"/>
    </font>
    <font>
      <sz val="9"/>
      <color theme="1"/>
      <name val="Ricty Diminished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/>
      <top/>
      <bottom/>
      <diagonal/>
    </border>
  </borders>
  <cellStyleXfs count="57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5" fillId="0" borderId="0" applyNumberFormat="0" applyFill="0" applyBorder="0" applyAlignment="0" applyProtection="0">
      <alignment vertical="center"/>
      <protection locked="0"/>
    </xf>
    <xf numFmtId="0" fontId="33" fillId="0" borderId="0" applyNumberFormat="0" applyFill="0" applyBorder="0" applyAlignment="0" applyProtection="0">
      <alignment vertical="center"/>
      <protection locked="0"/>
    </xf>
  </cellStyleXfs>
  <cellXfs count="320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6" xfId="0" applyNumberFormat="1" applyFont="1" applyFill="1" applyBorder="1" applyAlignment="1" applyProtection="1">
      <alignment horizontal="center" vertical="center" shrinkToFit="1"/>
    </xf>
    <xf numFmtId="187" fontId="0" fillId="0" borderId="36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8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 shrinkToFit="1"/>
    </xf>
    <xf numFmtId="180" fontId="0" fillId="0" borderId="41" xfId="0" applyNumberFormat="1" applyFill="1" applyBorder="1" applyAlignment="1" applyProtection="1">
      <alignment horizontal="center" vertical="center"/>
    </xf>
    <xf numFmtId="182" fontId="0" fillId="0" borderId="41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/>
    </xf>
    <xf numFmtId="0" fontId="0" fillId="0" borderId="42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center" vertical="center" wrapText="1"/>
    </xf>
    <xf numFmtId="49" fontId="0" fillId="0" borderId="44" xfId="0" applyNumberFormat="1" applyFill="1" applyBorder="1" applyAlignment="1" applyProtection="1">
      <alignment horizontal="center" vertical="center" wrapText="1"/>
    </xf>
    <xf numFmtId="187" fontId="0" fillId="0" borderId="44" xfId="0" applyNumberFormat="1" applyFill="1" applyBorder="1" applyAlignment="1" applyProtection="1">
      <alignment horizontal="center" vertical="center" wrapText="1"/>
    </xf>
    <xf numFmtId="186" fontId="0" fillId="0" borderId="42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184" fontId="0" fillId="54" borderId="44" xfId="0" applyNumberFormat="1" applyFill="1" applyBorder="1" applyAlignment="1" applyProtection="1">
      <alignment horizontal="center" vertical="center"/>
    </xf>
    <xf numFmtId="184" fontId="0" fillId="55" borderId="44" xfId="0" applyNumberFormat="1" applyFill="1" applyBorder="1" applyAlignment="1" applyProtection="1">
      <alignment horizontal="center" vertical="center"/>
    </xf>
    <xf numFmtId="184" fontId="0" fillId="0" borderId="43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left" vertical="center" shrinkToFit="1"/>
    </xf>
    <xf numFmtId="180" fontId="0" fillId="0" borderId="49" xfId="0" applyNumberFormat="1" applyFill="1" applyBorder="1" applyAlignment="1" applyProtection="1">
      <alignment horizontal="center" vertical="center"/>
    </xf>
    <xf numFmtId="182" fontId="0" fillId="0" borderId="49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left" vertical="center"/>
    </xf>
    <xf numFmtId="0" fontId="0" fillId="0" borderId="50" xfId="0" applyNumberFormat="1" applyFill="1" applyBorder="1" applyAlignment="1" applyProtection="1">
      <alignment horizontal="left" vertical="center"/>
    </xf>
    <xf numFmtId="0" fontId="0" fillId="0" borderId="48" xfId="0" applyNumberFormat="1" applyFill="1" applyBorder="1" applyAlignment="1" applyProtection="1">
      <alignment horizontal="center" vertical="center" wrapText="1"/>
    </xf>
    <xf numFmtId="49" fontId="0" fillId="0" borderId="51" xfId="0" applyNumberFormat="1" applyFill="1" applyBorder="1" applyAlignment="1" applyProtection="1">
      <alignment horizontal="center" vertical="center" wrapText="1"/>
    </xf>
    <xf numFmtId="187" fontId="0" fillId="0" borderId="51" xfId="0" applyNumberFormat="1" applyFill="1" applyBorder="1" applyAlignment="1" applyProtection="1">
      <alignment horizontal="center" vertical="center" wrapText="1"/>
    </xf>
    <xf numFmtId="186" fontId="0" fillId="0" borderId="50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0" borderId="51" xfId="0" applyNumberFormat="1" applyFill="1" applyBorder="1" applyAlignment="1" applyProtection="1">
      <alignment horizontal="center" vertical="center"/>
    </xf>
    <xf numFmtId="184" fontId="0" fillId="54" borderId="51" xfId="0" applyNumberFormat="1" applyFill="1" applyBorder="1" applyAlignment="1" applyProtection="1">
      <alignment horizontal="center" vertical="center"/>
    </xf>
    <xf numFmtId="184" fontId="0" fillId="55" borderId="51" xfId="0" applyNumberFormat="1" applyFill="1" applyBorder="1" applyAlignment="1" applyProtection="1">
      <alignment horizontal="center" vertical="center"/>
    </xf>
    <xf numFmtId="184" fontId="0" fillId="0" borderId="48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3" xfId="0" applyNumberFormat="1" applyFont="1" applyFill="1" applyBorder="1" applyAlignment="1">
      <alignment horizontal="center" vertical="center" wrapText="1"/>
      <protection locked="0"/>
    </xf>
    <xf numFmtId="181" fontId="0" fillId="0" borderId="53" xfId="0" applyNumberFormat="1" applyBorder="1" applyAlignment="1">
      <alignment horizontal="center" vertical="center"/>
      <protection locked="0"/>
    </xf>
    <xf numFmtId="0" fontId="30" fillId="42" borderId="53" xfId="0" applyFont="1" applyFill="1" applyBorder="1" applyAlignment="1">
      <alignment horizontal="center" vertical="center" wrapText="1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55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57" xfId="0" applyBorder="1">
      <alignment vertical="center"/>
      <protection locked="0"/>
    </xf>
    <xf numFmtId="0" fontId="28" fillId="0" borderId="58" xfId="0" applyFont="1" applyFill="1" applyBorder="1">
      <alignment vertical="center"/>
      <protection locked="0"/>
    </xf>
    <xf numFmtId="0" fontId="28" fillId="0" borderId="59" xfId="0" applyFont="1" applyFill="1" applyBorder="1">
      <alignment vertical="center"/>
      <protection locked="0"/>
    </xf>
    <xf numFmtId="0" fontId="28" fillId="0" borderId="60" xfId="0" applyFont="1" applyFill="1" applyBorder="1">
      <alignment vertical="center"/>
      <protection locked="0"/>
    </xf>
    <xf numFmtId="0" fontId="28" fillId="0" borderId="46" xfId="0" applyFont="1" applyFill="1" applyBorder="1">
      <alignment vertical="center"/>
      <protection locked="0"/>
    </xf>
    <xf numFmtId="0" fontId="28" fillId="0" borderId="57" xfId="0" applyFont="1" applyFill="1" applyBorder="1">
      <alignment vertical="center"/>
      <protection locked="0"/>
    </xf>
    <xf numFmtId="0" fontId="0" fillId="0" borderId="58" xfId="0" applyBorder="1">
      <alignment vertical="center"/>
      <protection locked="0"/>
    </xf>
    <xf numFmtId="0" fontId="28" fillId="0" borderId="61" xfId="0" applyFont="1" applyFill="1" applyBorder="1">
      <alignment vertical="center"/>
      <protection locked="0"/>
    </xf>
    <xf numFmtId="0" fontId="0" fillId="0" borderId="58" xfId="0" applyFont="1" applyFill="1" applyBorder="1" applyProtection="1">
      <alignment vertical="center"/>
    </xf>
    <xf numFmtId="0" fontId="0" fillId="0" borderId="62" xfId="0" applyFont="1" applyFill="1" applyBorder="1" applyProtection="1">
      <alignment vertical="center"/>
    </xf>
    <xf numFmtId="0" fontId="28" fillId="0" borderId="56" xfId="0" applyFont="1" applyFill="1" applyBorder="1" applyProtection="1">
      <alignment vertical="center"/>
    </xf>
    <xf numFmtId="0" fontId="28" fillId="0" borderId="63" xfId="0" applyFont="1" applyFill="1" applyBorder="1" applyProtection="1">
      <alignment vertical="center"/>
    </xf>
    <xf numFmtId="0" fontId="28" fillId="0" borderId="64" xfId="0" applyFont="1" applyFill="1" applyBorder="1" applyProtection="1">
      <alignment vertical="center"/>
    </xf>
    <xf numFmtId="0" fontId="28" fillId="0" borderId="58" xfId="0" applyFont="1" applyFill="1" applyBorder="1" applyProtection="1">
      <alignment vertical="center"/>
    </xf>
    <xf numFmtId="0" fontId="0" fillId="0" borderId="58" xfId="0" applyFont="1" applyFill="1" applyBorder="1">
      <alignment vertical="center"/>
      <protection locked="0"/>
    </xf>
    <xf numFmtId="0" fontId="28" fillId="0" borderId="63" xfId="0" applyFont="1" applyFill="1" applyBorder="1">
      <alignment vertical="center"/>
      <protection locked="0"/>
    </xf>
    <xf numFmtId="0" fontId="0" fillId="0" borderId="57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56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64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64" xfId="0" applyFont="1" applyFill="1" applyBorder="1">
      <alignment vertical="center"/>
      <protection locked="0"/>
    </xf>
    <xf numFmtId="0" fontId="0" fillId="0" borderId="60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0" fillId="0" borderId="69" xfId="0" applyNumberFormat="1" applyFill="1" applyBorder="1" applyAlignment="1" applyProtection="1">
      <alignment horizontal="center" vertical="center"/>
    </xf>
    <xf numFmtId="0" fontId="0" fillId="0" borderId="69" xfId="0" applyNumberFormat="1" applyFill="1" applyBorder="1" applyAlignment="1" applyProtection="1">
      <alignment horizontal="left" vertical="center" shrinkToFit="1"/>
    </xf>
    <xf numFmtId="180" fontId="0" fillId="0" borderId="68" xfId="0" applyNumberFormat="1" applyFill="1" applyBorder="1" applyAlignment="1" applyProtection="1">
      <alignment horizontal="center" vertical="center"/>
    </xf>
    <xf numFmtId="182" fontId="0" fillId="0" borderId="68" xfId="0" applyNumberFormat="1" applyFill="1" applyBorder="1" applyAlignment="1" applyProtection="1">
      <alignment horizontal="center" vertical="center"/>
    </xf>
    <xf numFmtId="0" fontId="0" fillId="0" borderId="69" xfId="0" applyNumberFormat="1" applyFill="1" applyBorder="1" applyAlignment="1" applyProtection="1">
      <alignment horizontal="left" vertical="center"/>
    </xf>
    <xf numFmtId="0" fontId="0" fillId="0" borderId="64" xfId="0" applyNumberFormat="1" applyFill="1" applyBorder="1" applyAlignment="1" applyProtection="1">
      <alignment horizontal="left" vertical="center"/>
    </xf>
    <xf numFmtId="187" fontId="0" fillId="0" borderId="68" xfId="0" applyNumberFormat="1" applyFill="1" applyBorder="1" applyAlignment="1" applyProtection="1">
      <alignment horizontal="center" vertical="center" wrapText="1"/>
    </xf>
    <xf numFmtId="186" fontId="0" fillId="0" borderId="64" xfId="0" applyNumberFormat="1" applyFill="1" applyBorder="1" applyAlignment="1" applyProtection="1">
      <alignment horizontal="center" vertical="center"/>
    </xf>
    <xf numFmtId="180" fontId="0" fillId="0" borderId="65" xfId="0" applyNumberFormat="1" applyFill="1" applyBorder="1" applyAlignment="1" applyProtection="1">
      <alignment horizontal="center" vertical="center"/>
    </xf>
    <xf numFmtId="182" fontId="0" fillId="0" borderId="65" xfId="0" applyNumberFormat="1" applyFill="1" applyBorder="1" applyAlignment="1" applyProtection="1">
      <alignment horizontal="center" vertical="center"/>
    </xf>
    <xf numFmtId="187" fontId="0" fillId="0" borderId="65" xfId="0" applyNumberFormat="1" applyFill="1" applyBorder="1" applyAlignment="1" applyProtection="1">
      <alignment horizontal="center" vertical="center" wrapText="1"/>
    </xf>
    <xf numFmtId="0" fontId="0" fillId="0" borderId="73" xfId="0" applyFill="1" applyBorder="1" applyAlignment="1">
      <alignment vertical="center" wrapText="1"/>
      <protection locked="0"/>
    </xf>
    <xf numFmtId="0" fontId="0" fillId="33" borderId="74" xfId="0" applyFill="1" applyBorder="1">
      <alignment vertical="center"/>
      <protection locked="0"/>
    </xf>
    <xf numFmtId="0" fontId="0" fillId="34" borderId="74" xfId="0" applyFill="1" applyBorder="1">
      <alignment vertical="center"/>
      <protection locked="0"/>
    </xf>
    <xf numFmtId="0" fontId="0" fillId="35" borderId="74" xfId="0" applyFill="1" applyBorder="1">
      <alignment vertical="center"/>
      <protection locked="0"/>
    </xf>
    <xf numFmtId="0" fontId="0" fillId="36" borderId="74" xfId="0" applyFill="1" applyBorder="1">
      <alignment vertical="center"/>
      <protection locked="0"/>
    </xf>
    <xf numFmtId="0" fontId="0" fillId="49" borderId="74" xfId="0" applyFill="1" applyBorder="1">
      <alignment vertical="center"/>
      <protection locked="0"/>
    </xf>
    <xf numFmtId="0" fontId="0" fillId="50" borderId="74" xfId="0" applyFill="1" applyBorder="1">
      <alignment vertical="center"/>
      <protection locked="0"/>
    </xf>
    <xf numFmtId="0" fontId="0" fillId="51" borderId="74" xfId="0" applyFill="1" applyBorder="1">
      <alignment vertical="center"/>
      <protection locked="0"/>
    </xf>
    <xf numFmtId="0" fontId="0" fillId="52" borderId="74" xfId="0" applyFill="1" applyBorder="1">
      <alignment vertical="center"/>
      <protection locked="0"/>
    </xf>
    <xf numFmtId="0" fontId="0" fillId="37" borderId="74" xfId="0" applyFill="1" applyBorder="1">
      <alignment vertical="center"/>
      <protection locked="0"/>
    </xf>
    <xf numFmtId="0" fontId="0" fillId="38" borderId="74" xfId="0" applyFill="1" applyBorder="1">
      <alignment vertical="center"/>
      <protection locked="0"/>
    </xf>
    <xf numFmtId="0" fontId="0" fillId="41" borderId="74" xfId="0" applyFill="1" applyBorder="1">
      <alignment vertical="center"/>
      <protection locked="0"/>
    </xf>
    <xf numFmtId="0" fontId="0" fillId="47" borderId="74" xfId="0" applyFill="1" applyBorder="1">
      <alignment vertical="center"/>
      <protection locked="0"/>
    </xf>
    <xf numFmtId="0" fontId="0" fillId="39" borderId="74" xfId="0" applyFill="1" applyBorder="1">
      <alignment vertical="center"/>
      <protection locked="0"/>
    </xf>
    <xf numFmtId="0" fontId="0" fillId="40" borderId="74" xfId="0" applyFill="1" applyBorder="1">
      <alignment vertical="center"/>
      <protection locked="0"/>
    </xf>
    <xf numFmtId="0" fontId="0" fillId="40" borderId="75" xfId="0" applyFill="1" applyBorder="1">
      <alignment vertical="center"/>
      <protection locked="0"/>
    </xf>
    <xf numFmtId="184" fontId="0" fillId="0" borderId="71" xfId="0" applyNumberFormat="1" applyFill="1" applyBorder="1" applyAlignment="1" applyProtection="1">
      <alignment horizontal="center" vertical="center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66" xfId="0" applyNumberFormat="1" applyFill="1" applyBorder="1" applyAlignment="1" applyProtection="1">
      <alignment horizontal="center" vertical="center"/>
    </xf>
    <xf numFmtId="182" fontId="0" fillId="0" borderId="66" xfId="0" applyNumberFormat="1" applyFill="1" applyBorder="1" applyAlignment="1" applyProtection="1">
      <alignment horizontal="center" vertical="center"/>
    </xf>
    <xf numFmtId="187" fontId="0" fillId="0" borderId="66" xfId="0" applyNumberFormat="1" applyFill="1" applyBorder="1" applyAlignment="1" applyProtection="1">
      <alignment horizontal="center" vertical="center" wrapText="1"/>
    </xf>
    <xf numFmtId="184" fontId="0" fillId="0" borderId="76" xfId="0" applyNumberFormat="1" applyFill="1" applyBorder="1" applyAlignment="1" applyProtection="1">
      <alignment horizontal="center" vertical="center"/>
    </xf>
    <xf numFmtId="180" fontId="0" fillId="0" borderId="67" xfId="0" applyNumberFormat="1" applyFill="1" applyBorder="1" applyAlignment="1" applyProtection="1">
      <alignment horizontal="center" vertical="center"/>
    </xf>
    <xf numFmtId="182" fontId="0" fillId="0" borderId="67" xfId="0" applyNumberFormat="1" applyFill="1" applyBorder="1" applyAlignment="1" applyProtection="1">
      <alignment horizontal="center" vertical="center"/>
    </xf>
    <xf numFmtId="187" fontId="0" fillId="0" borderId="67" xfId="0" applyNumberFormat="1" applyFill="1" applyBorder="1" applyAlignment="1" applyProtection="1">
      <alignment horizontal="center" vertical="center" wrapText="1"/>
    </xf>
    <xf numFmtId="184" fontId="0" fillId="0" borderId="77" xfId="0" applyNumberFormat="1" applyFill="1" applyBorder="1" applyAlignment="1" applyProtection="1">
      <alignment horizontal="center" vertical="center"/>
    </xf>
    <xf numFmtId="0" fontId="36" fillId="0" borderId="0" xfId="0" applyFont="1">
      <alignment vertical="center"/>
      <protection locked="0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48" borderId="64" xfId="0" applyNumberFormat="1" applyFill="1" applyBorder="1" applyAlignment="1" applyProtection="1">
      <alignment vertical="center"/>
    </xf>
    <xf numFmtId="0" fontId="0" fillId="0" borderId="78" xfId="0" applyNumberFormat="1" applyBorder="1" applyAlignment="1">
      <alignment horizontal="center" vertical="center"/>
      <protection locked="0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6" applyFont="1" applyAlignment="1">
      <alignment horizontal="left" vertical="center" shrinkToFit="1"/>
      <protection locked="0"/>
    </xf>
    <xf numFmtId="0" fontId="29" fillId="0" borderId="0" xfId="56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4" xfId="0" applyNumberFormat="1" applyFont="1" applyFill="1" applyBorder="1" applyAlignment="1">
      <alignment horizontal="center" vertical="center"/>
      <protection locked="0"/>
    </xf>
    <xf numFmtId="0" fontId="0" fillId="43" borderId="62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63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64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70" xfId="0" applyNumberFormat="1" applyFill="1" applyBorder="1" applyAlignment="1" applyProtection="1">
      <alignment horizontal="center" vertical="center"/>
    </xf>
    <xf numFmtId="0" fontId="0" fillId="43" borderId="38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31" fillId="45" borderId="10" xfId="0" applyNumberFormat="1" applyFont="1" applyFill="1" applyBorder="1" applyAlignment="1" applyProtection="1">
      <alignment horizontal="center" vertical="center"/>
    </xf>
    <xf numFmtId="0" fontId="31" fillId="45" borderId="64" xfId="0" applyNumberFormat="1" applyFon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186" fontId="0" fillId="43" borderId="37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</cellXfs>
  <cellStyles count="57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ハイパーリンク" xfId="5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C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39</xdr:row>
      <xdr:rowOff>0</xdr:rowOff>
    </xdr:from>
    <xdr:to>
      <xdr:col>51</xdr:col>
      <xdr:colOff>208461</xdr:colOff>
      <xdr:row>43</xdr:row>
      <xdr:rowOff>78441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147" y="9614647"/>
          <a:ext cx="14215814" cy="1064559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77</xdr:row>
      <xdr:rowOff>0</xdr:rowOff>
    </xdr:from>
    <xdr:to>
      <xdr:col>3</xdr:col>
      <xdr:colOff>257120</xdr:colOff>
      <xdr:row>79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3</xdr:col>
      <xdr:colOff>186520</xdr:colOff>
      <xdr:row>83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11</xdr:col>
      <xdr:colOff>153256</xdr:colOff>
      <xdr:row>91</xdr:row>
      <xdr:rowOff>93343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23</xdr:col>
      <xdr:colOff>0</xdr:colOff>
      <xdr:row>6</xdr:row>
      <xdr:rowOff>0</xdr:rowOff>
    </xdr:to>
    <xdr:sp macro="beforeChangeShapes" textlink="">
      <xdr:nvSpPr>
        <xdr:cNvPr id="194" name="タスク_6"/>
        <xdr:cNvSpPr/>
      </xdr:nvSpPr>
      <xdr:spPr>
        <a:xfrm>
          <a:off x="16659225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21</xdr:col>
      <xdr:colOff>0</xdr:colOff>
      <xdr:row>5</xdr:row>
      <xdr:rowOff>63500</xdr:rowOff>
    </xdr:from>
    <xdr:to>
      <xdr:col>21</xdr:col>
      <xdr:colOff>0</xdr:colOff>
      <xdr:row>5</xdr:row>
      <xdr:rowOff>190500</xdr:rowOff>
    </xdr:to>
    <xdr:sp macro="" textlink="">
      <xdr:nvSpPr>
        <xdr:cNvPr id="195" name="実績_6"/>
        <xdr:cNvSpPr/>
      </xdr:nvSpPr>
      <xdr:spPr>
        <a:xfrm>
          <a:off x="16659225" y="14922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4</xdr:row>
      <xdr:rowOff>0</xdr:rowOff>
    </xdr:from>
    <xdr:to>
      <xdr:col>42</xdr:col>
      <xdr:colOff>127000</xdr:colOff>
      <xdr:row>5</xdr:row>
      <xdr:rowOff>0</xdr:rowOff>
    </xdr:to>
    <xdr:cxnSp macro="">
      <xdr:nvCxnSpPr>
        <xdr:cNvPr id="196" name="イナズマ線B_5"/>
        <xdr:cNvCxnSpPr/>
      </xdr:nvCxnSpPr>
      <xdr:spPr>
        <a:xfrm>
          <a:off x="21786850" y="990600"/>
          <a:ext cx="0" cy="4381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127000</xdr:colOff>
      <xdr:row>5</xdr:row>
      <xdr:rowOff>0</xdr:rowOff>
    </xdr:from>
    <xdr:to>
      <xdr:col>42</xdr:col>
      <xdr:colOff>127000</xdr:colOff>
      <xdr:row>6</xdr:row>
      <xdr:rowOff>0</xdr:rowOff>
    </xdr:to>
    <xdr:cxnSp macro="">
      <xdr:nvCxnSpPr>
        <xdr:cNvPr id="197" name="イナズマ線B_6"/>
        <xdr:cNvCxnSpPr/>
      </xdr:nvCxnSpPr>
      <xdr:spPr>
        <a:xfrm>
          <a:off x="21786850" y="14287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beforeChangeShapes" textlink="">
      <xdr:nvSpPr>
        <xdr:cNvPr id="198" name="タスク_7"/>
        <xdr:cNvSpPr/>
      </xdr:nvSpPr>
      <xdr:spPr>
        <a:xfrm>
          <a:off x="18564225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6</xdr:row>
      <xdr:rowOff>63500</xdr:rowOff>
    </xdr:from>
    <xdr:to>
      <xdr:col>29</xdr:col>
      <xdr:colOff>0</xdr:colOff>
      <xdr:row>6</xdr:row>
      <xdr:rowOff>190500</xdr:rowOff>
    </xdr:to>
    <xdr:sp macro="" textlink="">
      <xdr:nvSpPr>
        <xdr:cNvPr id="199" name="実績_7"/>
        <xdr:cNvSpPr/>
      </xdr:nvSpPr>
      <xdr:spPr>
        <a:xfrm>
          <a:off x="18564225" y="17399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6</xdr:row>
      <xdr:rowOff>0</xdr:rowOff>
    </xdr:from>
    <xdr:to>
      <xdr:col>42</xdr:col>
      <xdr:colOff>127000</xdr:colOff>
      <xdr:row>7</xdr:row>
      <xdr:rowOff>0</xdr:rowOff>
    </xdr:to>
    <xdr:cxnSp macro="">
      <xdr:nvCxnSpPr>
        <xdr:cNvPr id="200" name="イナズマ線B_7"/>
        <xdr:cNvCxnSpPr/>
      </xdr:nvCxnSpPr>
      <xdr:spPr>
        <a:xfrm>
          <a:off x="21786850" y="16764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7</xdr:row>
      <xdr:rowOff>0</xdr:rowOff>
    </xdr:from>
    <xdr:to>
      <xdr:col>27</xdr:col>
      <xdr:colOff>0</xdr:colOff>
      <xdr:row>8</xdr:row>
      <xdr:rowOff>0</xdr:rowOff>
    </xdr:to>
    <xdr:sp macro="beforeChangeShapes" textlink="">
      <xdr:nvSpPr>
        <xdr:cNvPr id="201" name="タスク_8"/>
        <xdr:cNvSpPr/>
      </xdr:nvSpPr>
      <xdr:spPr>
        <a:xfrm>
          <a:off x="17135475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23</xdr:col>
      <xdr:colOff>0</xdr:colOff>
      <xdr:row>7</xdr:row>
      <xdr:rowOff>63500</xdr:rowOff>
    </xdr:from>
    <xdr:to>
      <xdr:col>23</xdr:col>
      <xdr:colOff>0</xdr:colOff>
      <xdr:row>7</xdr:row>
      <xdr:rowOff>190500</xdr:rowOff>
    </xdr:to>
    <xdr:sp macro="" textlink="">
      <xdr:nvSpPr>
        <xdr:cNvPr id="202" name="実績_8"/>
        <xdr:cNvSpPr/>
      </xdr:nvSpPr>
      <xdr:spPr>
        <a:xfrm>
          <a:off x="17135475" y="1987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7</xdr:row>
      <xdr:rowOff>0</xdr:rowOff>
    </xdr:from>
    <xdr:to>
      <xdr:col>42</xdr:col>
      <xdr:colOff>127000</xdr:colOff>
      <xdr:row>8</xdr:row>
      <xdr:rowOff>0</xdr:rowOff>
    </xdr:to>
    <xdr:cxnSp macro="">
      <xdr:nvCxnSpPr>
        <xdr:cNvPr id="203" name="イナズマ線B_8"/>
        <xdr:cNvCxnSpPr/>
      </xdr:nvCxnSpPr>
      <xdr:spPr>
        <a:xfrm>
          <a:off x="21786850" y="19240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8</xdr:row>
      <xdr:rowOff>0</xdr:rowOff>
    </xdr:from>
    <xdr:to>
      <xdr:col>36</xdr:col>
      <xdr:colOff>0</xdr:colOff>
      <xdr:row>9</xdr:row>
      <xdr:rowOff>0</xdr:rowOff>
    </xdr:to>
    <xdr:sp macro="beforeChangeShapes" textlink="">
      <xdr:nvSpPr>
        <xdr:cNvPr id="204" name="タスク_9"/>
        <xdr:cNvSpPr/>
      </xdr:nvSpPr>
      <xdr:spPr>
        <a:xfrm>
          <a:off x="19516725" y="21717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8</xdr:row>
      <xdr:rowOff>63500</xdr:rowOff>
    </xdr:from>
    <xdr:to>
      <xdr:col>33</xdr:col>
      <xdr:colOff>0</xdr:colOff>
      <xdr:row>8</xdr:row>
      <xdr:rowOff>190500</xdr:rowOff>
    </xdr:to>
    <xdr:sp macro="" textlink="">
      <xdr:nvSpPr>
        <xdr:cNvPr id="205" name="実績_9"/>
        <xdr:cNvSpPr/>
      </xdr:nvSpPr>
      <xdr:spPr>
        <a:xfrm>
          <a:off x="19516725" y="2235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8</xdr:row>
      <xdr:rowOff>0</xdr:rowOff>
    </xdr:from>
    <xdr:to>
      <xdr:col>42</xdr:col>
      <xdr:colOff>127000</xdr:colOff>
      <xdr:row>9</xdr:row>
      <xdr:rowOff>0</xdr:rowOff>
    </xdr:to>
    <xdr:cxnSp macro="">
      <xdr:nvCxnSpPr>
        <xdr:cNvPr id="206" name="イナズマ線B_9"/>
        <xdr:cNvCxnSpPr/>
      </xdr:nvCxnSpPr>
      <xdr:spPr>
        <a:xfrm>
          <a:off x="21786850" y="21717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9</xdr:row>
      <xdr:rowOff>0</xdr:rowOff>
    </xdr:from>
    <xdr:to>
      <xdr:col>43</xdr:col>
      <xdr:colOff>0</xdr:colOff>
      <xdr:row>10</xdr:row>
      <xdr:rowOff>0</xdr:rowOff>
    </xdr:to>
    <xdr:sp macro="beforeChangeShapes" textlink="">
      <xdr:nvSpPr>
        <xdr:cNvPr id="207" name="タスク_10"/>
        <xdr:cNvSpPr/>
      </xdr:nvSpPr>
      <xdr:spPr>
        <a:xfrm>
          <a:off x="20231100" y="241935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9</xdr:row>
      <xdr:rowOff>63500</xdr:rowOff>
    </xdr:from>
    <xdr:to>
      <xdr:col>36</xdr:col>
      <xdr:colOff>0</xdr:colOff>
      <xdr:row>9</xdr:row>
      <xdr:rowOff>190500</xdr:rowOff>
    </xdr:to>
    <xdr:sp macro="" textlink="">
      <xdr:nvSpPr>
        <xdr:cNvPr id="208" name="実績_10"/>
        <xdr:cNvSpPr/>
      </xdr:nvSpPr>
      <xdr:spPr>
        <a:xfrm>
          <a:off x="20231100" y="2482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9</xdr:row>
      <xdr:rowOff>0</xdr:rowOff>
    </xdr:from>
    <xdr:to>
      <xdr:col>42</xdr:col>
      <xdr:colOff>127000</xdr:colOff>
      <xdr:row>10</xdr:row>
      <xdr:rowOff>0</xdr:rowOff>
    </xdr:to>
    <xdr:cxnSp macro="">
      <xdr:nvCxnSpPr>
        <xdr:cNvPr id="209" name="イナズマ線B_10"/>
        <xdr:cNvCxnSpPr/>
      </xdr:nvCxnSpPr>
      <xdr:spPr>
        <a:xfrm>
          <a:off x="21786850" y="24193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10</xdr:row>
      <xdr:rowOff>0</xdr:rowOff>
    </xdr:from>
    <xdr:to>
      <xdr:col>29</xdr:col>
      <xdr:colOff>0</xdr:colOff>
      <xdr:row>11</xdr:row>
      <xdr:rowOff>0</xdr:rowOff>
    </xdr:to>
    <xdr:sp macro="beforeChangeShapes" textlink="">
      <xdr:nvSpPr>
        <xdr:cNvPr id="210" name="タスク_11"/>
        <xdr:cNvSpPr/>
      </xdr:nvSpPr>
      <xdr:spPr>
        <a:xfrm>
          <a:off x="17849850" y="26670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26</xdr:col>
      <xdr:colOff>0</xdr:colOff>
      <xdr:row>10</xdr:row>
      <xdr:rowOff>63500</xdr:rowOff>
    </xdr:from>
    <xdr:to>
      <xdr:col>26</xdr:col>
      <xdr:colOff>0</xdr:colOff>
      <xdr:row>10</xdr:row>
      <xdr:rowOff>190500</xdr:rowOff>
    </xdr:to>
    <xdr:sp macro="" textlink="">
      <xdr:nvSpPr>
        <xdr:cNvPr id="211" name="実績_11"/>
        <xdr:cNvSpPr/>
      </xdr:nvSpPr>
      <xdr:spPr>
        <a:xfrm>
          <a:off x="17849850" y="2730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10</xdr:row>
      <xdr:rowOff>0</xdr:rowOff>
    </xdr:from>
    <xdr:to>
      <xdr:col>42</xdr:col>
      <xdr:colOff>127000</xdr:colOff>
      <xdr:row>11</xdr:row>
      <xdr:rowOff>0</xdr:rowOff>
    </xdr:to>
    <xdr:cxnSp macro="">
      <xdr:nvCxnSpPr>
        <xdr:cNvPr id="212" name="イナズマ線B_11"/>
        <xdr:cNvCxnSpPr/>
      </xdr:nvCxnSpPr>
      <xdr:spPr>
        <a:xfrm>
          <a:off x="21786850" y="26670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11</xdr:row>
      <xdr:rowOff>0</xdr:rowOff>
    </xdr:from>
    <xdr:to>
      <xdr:col>38</xdr:col>
      <xdr:colOff>0</xdr:colOff>
      <xdr:row>12</xdr:row>
      <xdr:rowOff>0</xdr:rowOff>
    </xdr:to>
    <xdr:sp macro="beforeChangeShapes" textlink="">
      <xdr:nvSpPr>
        <xdr:cNvPr id="213" name="タスク_12"/>
        <xdr:cNvSpPr/>
      </xdr:nvSpPr>
      <xdr:spPr>
        <a:xfrm>
          <a:off x="20231100" y="29146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11</xdr:row>
      <xdr:rowOff>63500</xdr:rowOff>
    </xdr:from>
    <xdr:to>
      <xdr:col>36</xdr:col>
      <xdr:colOff>0</xdr:colOff>
      <xdr:row>11</xdr:row>
      <xdr:rowOff>190500</xdr:rowOff>
    </xdr:to>
    <xdr:sp macro="" textlink="">
      <xdr:nvSpPr>
        <xdr:cNvPr id="214" name="実績_12"/>
        <xdr:cNvSpPr/>
      </xdr:nvSpPr>
      <xdr:spPr>
        <a:xfrm>
          <a:off x="20231100" y="2978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11</xdr:row>
      <xdr:rowOff>0</xdr:rowOff>
    </xdr:from>
    <xdr:to>
      <xdr:col>42</xdr:col>
      <xdr:colOff>127000</xdr:colOff>
      <xdr:row>12</xdr:row>
      <xdr:rowOff>0</xdr:rowOff>
    </xdr:to>
    <xdr:cxnSp macro="">
      <xdr:nvCxnSpPr>
        <xdr:cNvPr id="215" name="イナズマ線B_12"/>
        <xdr:cNvCxnSpPr/>
      </xdr:nvCxnSpPr>
      <xdr:spPr>
        <a:xfrm>
          <a:off x="21786850" y="29146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12</xdr:row>
      <xdr:rowOff>0</xdr:rowOff>
    </xdr:from>
    <xdr:to>
      <xdr:col>34</xdr:col>
      <xdr:colOff>0</xdr:colOff>
      <xdr:row>13</xdr:row>
      <xdr:rowOff>0</xdr:rowOff>
    </xdr:to>
    <xdr:sp macro="beforeChangeShapes" textlink="">
      <xdr:nvSpPr>
        <xdr:cNvPr id="216" name="タスク_13"/>
        <xdr:cNvSpPr/>
      </xdr:nvSpPr>
      <xdr:spPr>
        <a:xfrm>
          <a:off x="18564225" y="31623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12</xdr:row>
      <xdr:rowOff>63500</xdr:rowOff>
    </xdr:from>
    <xdr:to>
      <xdr:col>29</xdr:col>
      <xdr:colOff>0</xdr:colOff>
      <xdr:row>12</xdr:row>
      <xdr:rowOff>190500</xdr:rowOff>
    </xdr:to>
    <xdr:sp macro="" textlink="">
      <xdr:nvSpPr>
        <xdr:cNvPr id="217" name="実績_13"/>
        <xdr:cNvSpPr/>
      </xdr:nvSpPr>
      <xdr:spPr>
        <a:xfrm>
          <a:off x="18564225" y="32258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12</xdr:row>
      <xdr:rowOff>0</xdr:rowOff>
    </xdr:from>
    <xdr:to>
      <xdr:col>42</xdr:col>
      <xdr:colOff>127000</xdr:colOff>
      <xdr:row>13</xdr:row>
      <xdr:rowOff>0</xdr:rowOff>
    </xdr:to>
    <xdr:cxnSp macro="">
      <xdr:nvCxnSpPr>
        <xdr:cNvPr id="218" name="イナズマ線B_13"/>
        <xdr:cNvCxnSpPr/>
      </xdr:nvCxnSpPr>
      <xdr:spPr>
        <a:xfrm>
          <a:off x="21786850" y="31623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0</xdr:rowOff>
    </xdr:from>
    <xdr:to>
      <xdr:col>34</xdr:col>
      <xdr:colOff>0</xdr:colOff>
      <xdr:row>14</xdr:row>
      <xdr:rowOff>0</xdr:rowOff>
    </xdr:to>
    <xdr:sp macro="beforeChangeShapes" textlink="">
      <xdr:nvSpPr>
        <xdr:cNvPr id="219" name="タスク_14"/>
        <xdr:cNvSpPr/>
      </xdr:nvSpPr>
      <xdr:spPr>
        <a:xfrm>
          <a:off x="18564225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13</xdr:row>
      <xdr:rowOff>63500</xdr:rowOff>
    </xdr:from>
    <xdr:to>
      <xdr:col>29</xdr:col>
      <xdr:colOff>0</xdr:colOff>
      <xdr:row>13</xdr:row>
      <xdr:rowOff>190500</xdr:rowOff>
    </xdr:to>
    <xdr:sp macro="" textlink="">
      <xdr:nvSpPr>
        <xdr:cNvPr id="220" name="実績_14"/>
        <xdr:cNvSpPr/>
      </xdr:nvSpPr>
      <xdr:spPr>
        <a:xfrm>
          <a:off x="18564225" y="34734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13</xdr:row>
      <xdr:rowOff>0</xdr:rowOff>
    </xdr:from>
    <xdr:to>
      <xdr:col>42</xdr:col>
      <xdr:colOff>127000</xdr:colOff>
      <xdr:row>14</xdr:row>
      <xdr:rowOff>0</xdr:rowOff>
    </xdr:to>
    <xdr:cxnSp macro="">
      <xdr:nvCxnSpPr>
        <xdr:cNvPr id="221" name="イナズマ線B_14"/>
        <xdr:cNvCxnSpPr/>
      </xdr:nvCxnSpPr>
      <xdr:spPr>
        <a:xfrm>
          <a:off x="21786850" y="34099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14</xdr:row>
      <xdr:rowOff>0</xdr:rowOff>
    </xdr:from>
    <xdr:to>
      <xdr:col>44</xdr:col>
      <xdr:colOff>0</xdr:colOff>
      <xdr:row>15</xdr:row>
      <xdr:rowOff>0</xdr:rowOff>
    </xdr:to>
    <xdr:sp macro="beforeChangeShapes" textlink="">
      <xdr:nvSpPr>
        <xdr:cNvPr id="222" name="タスク_15"/>
        <xdr:cNvSpPr/>
      </xdr:nvSpPr>
      <xdr:spPr>
        <a:xfrm>
          <a:off x="21659850" y="36576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14</xdr:row>
      <xdr:rowOff>63500</xdr:rowOff>
    </xdr:from>
    <xdr:to>
      <xdr:col>42</xdr:col>
      <xdr:colOff>0</xdr:colOff>
      <xdr:row>14</xdr:row>
      <xdr:rowOff>190500</xdr:rowOff>
    </xdr:to>
    <xdr:sp macro="" textlink="">
      <xdr:nvSpPr>
        <xdr:cNvPr id="223" name="実績_15"/>
        <xdr:cNvSpPr/>
      </xdr:nvSpPr>
      <xdr:spPr>
        <a:xfrm>
          <a:off x="21659850" y="37211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14</xdr:row>
      <xdr:rowOff>0</xdr:rowOff>
    </xdr:from>
    <xdr:to>
      <xdr:col>42</xdr:col>
      <xdr:colOff>127000</xdr:colOff>
      <xdr:row>15</xdr:row>
      <xdr:rowOff>0</xdr:rowOff>
    </xdr:to>
    <xdr:cxnSp macro="">
      <xdr:nvCxnSpPr>
        <xdr:cNvPr id="224" name="イナズマ線B_15"/>
        <xdr:cNvCxnSpPr/>
      </xdr:nvCxnSpPr>
      <xdr:spPr>
        <a:xfrm>
          <a:off x="21786850" y="36576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Z106"/>
  <sheetViews>
    <sheetView showGridLines="0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87" t="s">
        <v>96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</row>
    <row r="3" spans="2:12" ht="19.5" customHeight="1">
      <c r="B3" s="288" t="s">
        <v>97</v>
      </c>
      <c r="C3" s="288"/>
      <c r="D3" s="288"/>
      <c r="E3" s="288"/>
      <c r="F3" s="288"/>
      <c r="G3" s="288"/>
      <c r="H3" s="288"/>
      <c r="I3" s="288"/>
      <c r="J3" s="288"/>
      <c r="K3" s="288"/>
      <c r="L3" s="288"/>
    </row>
    <row r="4" spans="2:12" ht="19.5" customHeight="1">
      <c r="B4" s="288" t="s">
        <v>268</v>
      </c>
      <c r="C4" s="288"/>
      <c r="D4" s="288"/>
      <c r="E4" s="288"/>
      <c r="F4" s="288"/>
      <c r="G4" s="288"/>
      <c r="H4" s="288"/>
      <c r="I4" s="288"/>
      <c r="J4" s="288"/>
      <c r="K4" s="288"/>
      <c r="L4" s="288"/>
    </row>
    <row r="5" spans="2:12" ht="19.5" customHeight="1">
      <c r="B5" s="288" t="s">
        <v>269</v>
      </c>
      <c r="C5" s="288"/>
      <c r="D5" s="288"/>
      <c r="E5" s="288"/>
      <c r="F5" s="288"/>
      <c r="G5" s="288"/>
      <c r="H5" s="288"/>
      <c r="I5" s="288"/>
      <c r="J5" s="288"/>
      <c r="K5" s="288"/>
      <c r="L5" s="288"/>
    </row>
    <row r="6" spans="2:12" ht="19.5" customHeight="1">
      <c r="B6" s="286"/>
      <c r="C6" s="286"/>
      <c r="D6" s="286"/>
      <c r="E6" s="286"/>
      <c r="F6" s="286"/>
      <c r="G6" s="286"/>
      <c r="H6" s="286"/>
      <c r="I6" s="286"/>
      <c r="J6" s="286"/>
      <c r="K6" s="286"/>
      <c r="L6" s="286"/>
    </row>
    <row r="7" spans="2:12" ht="19.5" customHeight="1">
      <c r="B7" s="286"/>
      <c r="C7" s="286"/>
      <c r="D7" s="286"/>
      <c r="E7" s="286"/>
      <c r="F7" s="286"/>
      <c r="G7" s="286"/>
      <c r="H7" s="286"/>
      <c r="I7" s="286"/>
      <c r="J7" s="286"/>
      <c r="K7" s="286"/>
      <c r="L7" s="286"/>
    </row>
    <row r="8" spans="2:12" ht="19.5" customHeight="1">
      <c r="B8" s="201"/>
      <c r="C8" s="201"/>
      <c r="D8" s="201"/>
      <c r="E8" s="201"/>
      <c r="F8" s="201"/>
      <c r="G8" s="201"/>
      <c r="H8" s="201"/>
      <c r="I8" s="201"/>
      <c r="J8" s="201"/>
      <c r="K8" s="201"/>
      <c r="L8" s="201"/>
    </row>
    <row r="9" spans="2:12" ht="19.5" customHeight="1">
      <c r="B9" s="201"/>
      <c r="C9" s="201"/>
      <c r="D9" s="201"/>
      <c r="E9" s="201"/>
      <c r="F9" s="201"/>
      <c r="G9" s="201"/>
      <c r="H9" s="201"/>
      <c r="I9" s="201"/>
      <c r="J9" s="201"/>
      <c r="K9" s="201"/>
      <c r="L9" s="201"/>
    </row>
    <row r="10" spans="2:12" ht="19.5" customHeight="1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</row>
    <row r="11" spans="2:12" ht="19.5" customHeight="1">
      <c r="B11" s="201"/>
      <c r="C11" s="201"/>
      <c r="D11" s="201"/>
      <c r="E11" s="201"/>
      <c r="F11" s="201"/>
      <c r="G11" s="201"/>
      <c r="H11" s="201"/>
      <c r="I11" s="201"/>
      <c r="J11" s="201"/>
      <c r="K11" s="201"/>
      <c r="L11" s="201"/>
    </row>
    <row r="12" spans="2:12" ht="19.5" customHeight="1">
      <c r="B12" s="201"/>
      <c r="C12" s="201"/>
      <c r="D12" s="201"/>
      <c r="E12" s="201"/>
      <c r="F12" s="201"/>
      <c r="G12" s="201"/>
      <c r="H12" s="201"/>
      <c r="I12" s="201"/>
      <c r="J12" s="201"/>
      <c r="K12" s="201"/>
      <c r="L12" s="201"/>
    </row>
    <row r="13" spans="2:12" ht="19.5" customHeight="1"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</row>
    <row r="14" spans="2:12" ht="19.5" customHeight="1">
      <c r="B14" s="286"/>
      <c r="C14" s="286"/>
      <c r="D14" s="286"/>
      <c r="E14" s="286"/>
      <c r="F14" s="286"/>
      <c r="G14" s="286"/>
      <c r="H14" s="286"/>
      <c r="I14" s="286"/>
      <c r="J14" s="286"/>
      <c r="K14" s="286"/>
      <c r="L14" s="286"/>
    </row>
    <row r="15" spans="2:12" ht="19.5" customHeight="1">
      <c r="B15" s="286"/>
      <c r="C15" s="286"/>
      <c r="D15" s="286"/>
      <c r="E15" s="286"/>
      <c r="F15" s="286"/>
      <c r="G15" s="286"/>
      <c r="H15" s="286"/>
      <c r="I15" s="286"/>
      <c r="J15" s="286"/>
      <c r="K15" s="286"/>
      <c r="L15" s="286"/>
    </row>
    <row r="16" spans="2:12" ht="19.5" customHeight="1">
      <c r="B16" s="286"/>
      <c r="C16" s="286"/>
      <c r="D16" s="286"/>
      <c r="E16" s="286"/>
      <c r="F16" s="286"/>
      <c r="G16" s="286"/>
      <c r="H16" s="286"/>
      <c r="I16" s="286"/>
      <c r="J16" s="286"/>
      <c r="K16" s="286"/>
      <c r="L16" s="286"/>
    </row>
    <row r="17" spans="2:12" ht="19.5" customHeight="1">
      <c r="B17" s="289"/>
      <c r="C17" s="289"/>
      <c r="D17" s="289"/>
      <c r="E17" s="289"/>
      <c r="F17" s="289"/>
      <c r="G17" s="289"/>
      <c r="H17" s="289"/>
      <c r="I17" s="289"/>
      <c r="J17" s="289"/>
      <c r="K17" s="289"/>
      <c r="L17" s="289"/>
    </row>
    <row r="18" spans="2:12" ht="19.5" customHeight="1">
      <c r="B18" s="286"/>
      <c r="C18" s="286"/>
      <c r="D18" s="286"/>
      <c r="E18" s="286"/>
      <c r="F18" s="286"/>
      <c r="G18" s="286"/>
      <c r="H18" s="286"/>
      <c r="I18" s="286"/>
      <c r="J18" s="286"/>
      <c r="K18" s="286"/>
      <c r="L18" s="286"/>
    </row>
    <row r="37" spans="1:52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</row>
    <row r="38" spans="1:52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9.5" customHeight="1" thickTop="1">
      <c r="B39" s="6" t="s">
        <v>22</v>
      </c>
    </row>
    <row r="45" spans="1:52" ht="19.5" customHeight="1">
      <c r="B45" s="202" t="s">
        <v>256</v>
      </c>
      <c r="C45" s="203"/>
      <c r="D45" s="203"/>
      <c r="E45" s="203"/>
      <c r="F45" s="203"/>
      <c r="G45" s="203"/>
      <c r="H45" s="203"/>
      <c r="I45" s="203"/>
      <c r="J45" s="203"/>
      <c r="K45" s="203" t="s">
        <v>257</v>
      </c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4"/>
      <c r="X45" s="202" t="s">
        <v>256</v>
      </c>
      <c r="Y45" s="203"/>
      <c r="Z45" s="203"/>
      <c r="AA45" s="203"/>
      <c r="AB45" s="203"/>
      <c r="AC45" s="203"/>
      <c r="AD45" s="203"/>
      <c r="AE45" s="203"/>
      <c r="AF45" s="203"/>
      <c r="AG45" s="203" t="s">
        <v>257</v>
      </c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4"/>
    </row>
    <row r="46" spans="1:52" ht="19.5" customHeight="1">
      <c r="B46" s="220" t="s">
        <v>260</v>
      </c>
      <c r="C46" s="223"/>
      <c r="D46" s="223"/>
      <c r="E46" s="223"/>
      <c r="F46" s="223"/>
      <c r="G46" s="223"/>
      <c r="H46" s="223"/>
      <c r="I46" s="223"/>
      <c r="J46" s="223"/>
      <c r="K46" s="228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21"/>
      <c r="X46" s="238" t="s">
        <v>303</v>
      </c>
      <c r="Y46" s="230"/>
      <c r="Z46" s="230"/>
      <c r="AA46" s="230"/>
      <c r="AB46" s="230"/>
      <c r="AC46" s="214"/>
      <c r="AD46" s="214"/>
      <c r="AE46" s="214"/>
      <c r="AF46" s="214"/>
      <c r="AG46" s="229"/>
      <c r="AH46" s="230"/>
      <c r="AI46" s="230"/>
      <c r="AJ46" s="230"/>
      <c r="AK46" s="230"/>
      <c r="AL46" s="230"/>
      <c r="AM46" s="230"/>
      <c r="AN46" s="230"/>
      <c r="AO46" s="230"/>
      <c r="AP46" s="230"/>
      <c r="AQ46" s="230"/>
      <c r="AR46" s="231"/>
    </row>
    <row r="47" spans="1:52" ht="19.5" customHeight="1">
      <c r="B47" s="222"/>
      <c r="C47" s="224" t="s">
        <v>258</v>
      </c>
      <c r="D47" s="224"/>
      <c r="E47" s="224"/>
      <c r="F47" s="224"/>
      <c r="G47" s="224"/>
      <c r="H47" s="224"/>
      <c r="I47" s="224"/>
      <c r="J47" s="224"/>
      <c r="K47" s="232" t="s">
        <v>299</v>
      </c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21"/>
      <c r="X47" s="229"/>
      <c r="Y47" s="233" t="s">
        <v>304</v>
      </c>
      <c r="Z47" s="230"/>
      <c r="AA47" s="230"/>
      <c r="AB47" s="230"/>
      <c r="AC47" s="214"/>
      <c r="AD47" s="214"/>
      <c r="AE47" s="214"/>
      <c r="AF47" s="214"/>
      <c r="AG47" s="229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1"/>
    </row>
    <row r="48" spans="1:52" ht="19.5" customHeight="1">
      <c r="B48" s="222"/>
      <c r="C48" s="227" t="s">
        <v>261</v>
      </c>
      <c r="D48" s="224"/>
      <c r="E48" s="224"/>
      <c r="F48" s="224"/>
      <c r="G48" s="224"/>
      <c r="H48" s="224"/>
      <c r="I48" s="224"/>
      <c r="J48" s="224"/>
      <c r="K48" s="232" t="s">
        <v>300</v>
      </c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21"/>
      <c r="X48" s="229"/>
      <c r="Y48" s="233" t="s">
        <v>305</v>
      </c>
      <c r="Z48" s="230"/>
      <c r="AA48" s="230"/>
      <c r="AB48" s="230"/>
      <c r="AC48" s="214"/>
      <c r="AD48" s="214"/>
      <c r="AE48" s="214"/>
      <c r="AF48" s="214"/>
      <c r="AG48" s="229"/>
      <c r="AH48" s="230"/>
      <c r="AI48" s="230"/>
      <c r="AJ48" s="230"/>
      <c r="AK48" s="230"/>
      <c r="AL48" s="230"/>
      <c r="AM48" s="230"/>
      <c r="AN48" s="230"/>
      <c r="AO48" s="230"/>
      <c r="AP48" s="230"/>
      <c r="AQ48" s="230"/>
      <c r="AR48" s="231"/>
    </row>
    <row r="49" spans="2:44" ht="19.5" customHeight="1">
      <c r="B49" s="226"/>
      <c r="C49" s="218"/>
      <c r="D49" s="225" t="s">
        <v>271</v>
      </c>
      <c r="E49" s="212"/>
      <c r="F49" s="212"/>
      <c r="G49" s="212"/>
      <c r="H49" s="212"/>
      <c r="I49" s="212"/>
      <c r="J49" s="212"/>
      <c r="K49" s="238" t="s">
        <v>301</v>
      </c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1"/>
      <c r="X49" s="229"/>
      <c r="Y49" s="233" t="s">
        <v>306</v>
      </c>
      <c r="Z49" s="230"/>
      <c r="AA49" s="230"/>
      <c r="AB49" s="230"/>
      <c r="AC49" s="214"/>
      <c r="AD49" s="214"/>
      <c r="AE49" s="214"/>
      <c r="AF49" s="214"/>
      <c r="AG49" s="229"/>
      <c r="AH49" s="230"/>
      <c r="AI49" s="230"/>
      <c r="AJ49" s="230"/>
      <c r="AK49" s="230"/>
      <c r="AL49" s="230"/>
      <c r="AM49" s="230"/>
      <c r="AN49" s="230"/>
      <c r="AO49" s="230"/>
      <c r="AP49" s="230"/>
      <c r="AQ49" s="230"/>
      <c r="AR49" s="231"/>
    </row>
    <row r="50" spans="2:44" ht="19.5" customHeight="1">
      <c r="B50" s="226"/>
      <c r="C50" s="225" t="s">
        <v>272</v>
      </c>
      <c r="D50" s="212"/>
      <c r="E50" s="212"/>
      <c r="F50" s="212"/>
      <c r="G50" s="212"/>
      <c r="H50" s="212"/>
      <c r="I50" s="212"/>
      <c r="J50" s="212"/>
      <c r="K50" s="238" t="s">
        <v>302</v>
      </c>
      <c r="L50" s="230"/>
      <c r="M50" s="230"/>
      <c r="N50" s="230"/>
      <c r="O50" s="230"/>
      <c r="P50" s="230"/>
      <c r="Q50" s="230"/>
      <c r="R50" s="230"/>
      <c r="S50" s="230"/>
      <c r="T50" s="230"/>
      <c r="U50" s="230"/>
      <c r="V50" s="231"/>
      <c r="X50" s="238" t="s">
        <v>307</v>
      </c>
      <c r="Y50" s="230"/>
      <c r="Z50" s="230"/>
      <c r="AA50" s="230"/>
      <c r="AB50" s="230"/>
      <c r="AC50" s="214"/>
      <c r="AD50" s="214"/>
      <c r="AE50" s="214"/>
      <c r="AF50" s="214"/>
      <c r="AG50" s="229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1"/>
    </row>
    <row r="51" spans="2:44" ht="19.5" customHeight="1">
      <c r="B51" s="226"/>
      <c r="C51" s="227" t="s">
        <v>273</v>
      </c>
      <c r="D51" s="212"/>
      <c r="E51" s="212"/>
      <c r="F51" s="212"/>
      <c r="G51" s="212"/>
      <c r="H51" s="212"/>
      <c r="I51" s="212"/>
      <c r="J51" s="213"/>
      <c r="K51" s="229"/>
      <c r="L51" s="230"/>
      <c r="M51" s="230"/>
      <c r="N51" s="230"/>
      <c r="O51" s="230"/>
      <c r="P51" s="230"/>
      <c r="Q51" s="230"/>
      <c r="R51" s="230"/>
      <c r="S51" s="230"/>
      <c r="T51" s="230"/>
      <c r="U51" s="230"/>
      <c r="V51" s="231"/>
      <c r="X51" s="229"/>
      <c r="Y51" s="233" t="s">
        <v>308</v>
      </c>
      <c r="Z51" s="230"/>
      <c r="AA51" s="230"/>
      <c r="AB51" s="230"/>
      <c r="AC51" s="214"/>
      <c r="AD51" s="214"/>
      <c r="AE51" s="214"/>
      <c r="AF51" s="214"/>
      <c r="AG51" s="229"/>
      <c r="AH51" s="230"/>
      <c r="AI51" s="230"/>
      <c r="AJ51" s="230"/>
      <c r="AK51" s="230"/>
      <c r="AL51" s="230"/>
      <c r="AM51" s="230"/>
      <c r="AN51" s="230"/>
      <c r="AO51" s="230"/>
      <c r="AP51" s="230"/>
      <c r="AQ51" s="230"/>
      <c r="AR51" s="231"/>
    </row>
    <row r="52" spans="2:44" ht="19.5" customHeight="1">
      <c r="B52" s="215"/>
      <c r="C52" s="215"/>
      <c r="D52" s="219" t="s">
        <v>273</v>
      </c>
      <c r="E52" s="212"/>
      <c r="F52" s="212"/>
      <c r="G52" s="212"/>
      <c r="H52" s="212"/>
      <c r="I52" s="212"/>
      <c r="J52" s="213"/>
      <c r="K52" s="229"/>
      <c r="L52" s="230"/>
      <c r="M52" s="230"/>
      <c r="N52" s="230"/>
      <c r="O52" s="230"/>
      <c r="P52" s="230"/>
      <c r="Q52" s="230"/>
      <c r="R52" s="230"/>
      <c r="S52" s="230"/>
      <c r="T52" s="230"/>
      <c r="U52" s="230"/>
      <c r="V52" s="231"/>
      <c r="X52" s="229"/>
      <c r="Y52" s="233" t="s">
        <v>309</v>
      </c>
      <c r="Z52" s="230"/>
      <c r="AA52" s="230"/>
      <c r="AB52" s="230"/>
      <c r="AC52" s="214"/>
      <c r="AD52" s="214"/>
      <c r="AE52" s="214"/>
      <c r="AF52" s="214"/>
      <c r="AG52" s="229"/>
      <c r="AH52" s="230"/>
      <c r="AI52" s="230"/>
      <c r="AJ52" s="230"/>
      <c r="AK52" s="230"/>
      <c r="AL52" s="230"/>
      <c r="AM52" s="230"/>
      <c r="AN52" s="230"/>
      <c r="AO52" s="230"/>
      <c r="AP52" s="230"/>
      <c r="AQ52" s="230"/>
      <c r="AR52" s="231"/>
    </row>
    <row r="53" spans="2:44" ht="19.5" customHeight="1">
      <c r="B53" s="218"/>
      <c r="C53" s="218"/>
      <c r="D53" s="212" t="s">
        <v>274</v>
      </c>
      <c r="E53" s="212"/>
      <c r="F53" s="212"/>
      <c r="G53" s="217"/>
      <c r="H53" s="217"/>
      <c r="I53" s="217"/>
      <c r="J53" s="213"/>
      <c r="K53" s="229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1"/>
      <c r="X53" s="238" t="s">
        <v>310</v>
      </c>
      <c r="Y53" s="230"/>
      <c r="Z53" s="230"/>
      <c r="AA53" s="230"/>
      <c r="AB53" s="230"/>
      <c r="AC53" s="214"/>
      <c r="AD53" s="214"/>
      <c r="AE53" s="214"/>
      <c r="AF53" s="214"/>
      <c r="AG53" s="229"/>
      <c r="AH53" s="230"/>
      <c r="AI53" s="230"/>
      <c r="AJ53" s="230"/>
      <c r="AK53" s="230"/>
      <c r="AL53" s="230"/>
      <c r="AM53" s="230"/>
      <c r="AN53" s="230"/>
      <c r="AO53" s="230"/>
      <c r="AP53" s="230"/>
      <c r="AQ53" s="230"/>
      <c r="AR53" s="231"/>
    </row>
    <row r="54" spans="2:44" ht="19.5" customHeight="1">
      <c r="B54" s="216" t="s">
        <v>275</v>
      </c>
      <c r="C54" s="212"/>
      <c r="D54" s="212"/>
      <c r="E54" s="212"/>
      <c r="F54" s="212"/>
      <c r="G54" s="217"/>
      <c r="H54" s="217"/>
      <c r="I54" s="217"/>
      <c r="J54" s="212"/>
      <c r="K54" s="229"/>
      <c r="L54" s="230"/>
      <c r="M54" s="230"/>
      <c r="N54" s="230"/>
      <c r="O54" s="230"/>
      <c r="P54" s="230"/>
      <c r="Q54" s="230"/>
      <c r="R54" s="230"/>
      <c r="S54" s="230"/>
      <c r="T54" s="230"/>
      <c r="U54" s="230"/>
      <c r="V54" s="231"/>
      <c r="X54" s="229"/>
      <c r="Y54" s="233" t="s">
        <v>308</v>
      </c>
      <c r="Z54" s="230"/>
      <c r="AA54" s="230"/>
      <c r="AB54" s="230"/>
      <c r="AC54" s="214"/>
      <c r="AD54" s="214"/>
      <c r="AE54" s="214"/>
      <c r="AF54" s="214"/>
      <c r="AG54" s="229"/>
      <c r="AH54" s="230"/>
      <c r="AI54" s="230"/>
      <c r="AJ54" s="230"/>
      <c r="AK54" s="230"/>
      <c r="AL54" s="230"/>
      <c r="AM54" s="230"/>
      <c r="AN54" s="230"/>
      <c r="AO54" s="230"/>
      <c r="AP54" s="230"/>
      <c r="AQ54" s="230"/>
      <c r="AR54" s="231"/>
    </row>
    <row r="55" spans="2:44" ht="19.5" customHeight="1">
      <c r="B55" s="215"/>
      <c r="C55" s="225" t="s">
        <v>287</v>
      </c>
      <c r="D55" s="212"/>
      <c r="E55" s="212"/>
      <c r="F55" s="212"/>
      <c r="G55" s="217"/>
      <c r="H55" s="217"/>
      <c r="I55" s="217"/>
      <c r="J55" s="212"/>
      <c r="K55" s="229"/>
      <c r="L55" s="230"/>
      <c r="M55" s="230"/>
      <c r="N55" s="230"/>
      <c r="O55" s="230"/>
      <c r="P55" s="230"/>
      <c r="Q55" s="230"/>
      <c r="R55" s="230"/>
      <c r="S55" s="230"/>
      <c r="T55" s="230"/>
      <c r="U55" s="230"/>
      <c r="V55" s="231"/>
      <c r="X55" s="229"/>
      <c r="Y55" s="233" t="s">
        <v>309</v>
      </c>
      <c r="Z55" s="230"/>
      <c r="AA55" s="230"/>
      <c r="AB55" s="230"/>
      <c r="AC55" s="214"/>
      <c r="AD55" s="214"/>
      <c r="AE55" s="214"/>
      <c r="AF55" s="214"/>
      <c r="AG55" s="229"/>
      <c r="AH55" s="230"/>
      <c r="AI55" s="230"/>
      <c r="AJ55" s="230"/>
      <c r="AK55" s="230"/>
      <c r="AL55" s="230"/>
      <c r="AM55" s="230"/>
      <c r="AN55" s="230"/>
      <c r="AO55" s="230"/>
      <c r="AP55" s="230"/>
      <c r="AQ55" s="230"/>
      <c r="AR55" s="231"/>
    </row>
    <row r="56" spans="2:44" ht="19.5" customHeight="1">
      <c r="B56" s="215"/>
      <c r="C56" s="212" t="s">
        <v>276</v>
      </c>
      <c r="D56" s="212"/>
      <c r="E56" s="212"/>
      <c r="F56" s="212"/>
      <c r="G56" s="217"/>
      <c r="H56" s="217"/>
      <c r="I56" s="217"/>
      <c r="J56" s="212"/>
      <c r="K56" s="229"/>
      <c r="L56" s="230"/>
      <c r="M56" s="230"/>
      <c r="N56" s="230"/>
      <c r="O56" s="230"/>
      <c r="P56" s="230"/>
      <c r="Q56" s="230"/>
      <c r="R56" s="230"/>
      <c r="S56" s="230"/>
      <c r="T56" s="230"/>
      <c r="U56" s="230"/>
      <c r="V56" s="231"/>
      <c r="X56" s="229"/>
      <c r="Y56" s="230"/>
      <c r="Z56" s="230"/>
      <c r="AA56" s="230"/>
      <c r="AB56" s="230"/>
      <c r="AC56" s="214"/>
      <c r="AD56" s="214"/>
      <c r="AE56" s="214"/>
      <c r="AF56" s="214"/>
      <c r="AG56" s="229"/>
      <c r="AH56" s="230"/>
      <c r="AI56" s="230"/>
      <c r="AJ56" s="230"/>
      <c r="AK56" s="230"/>
      <c r="AL56" s="230"/>
      <c r="AM56" s="230"/>
      <c r="AN56" s="230"/>
      <c r="AO56" s="230"/>
      <c r="AP56" s="230"/>
      <c r="AQ56" s="230"/>
      <c r="AR56" s="231"/>
    </row>
    <row r="57" spans="2:44" ht="19.5" customHeight="1">
      <c r="B57" s="218"/>
      <c r="C57" s="212" t="s">
        <v>277</v>
      </c>
      <c r="D57" s="212"/>
      <c r="E57" s="212"/>
      <c r="F57" s="212"/>
      <c r="G57" s="212"/>
      <c r="H57" s="212"/>
      <c r="I57" s="212"/>
      <c r="J57" s="212"/>
      <c r="K57" s="228" t="s">
        <v>259</v>
      </c>
      <c r="L57" s="230"/>
      <c r="M57" s="230"/>
      <c r="N57" s="230"/>
      <c r="O57" s="230"/>
      <c r="P57" s="230"/>
      <c r="Q57" s="230"/>
      <c r="R57" s="230"/>
      <c r="S57" s="230"/>
      <c r="T57" s="230"/>
      <c r="U57" s="230"/>
      <c r="V57" s="231"/>
      <c r="X57" s="229"/>
      <c r="Y57" s="230"/>
      <c r="Z57" s="230"/>
      <c r="AA57" s="230"/>
      <c r="AB57" s="230"/>
      <c r="AC57" s="214"/>
      <c r="AD57" s="214"/>
      <c r="AE57" s="214"/>
      <c r="AF57" s="214"/>
      <c r="AG57" s="229"/>
      <c r="AH57" s="230"/>
      <c r="AI57" s="230"/>
      <c r="AJ57" s="230"/>
      <c r="AK57" s="230"/>
      <c r="AL57" s="230"/>
      <c r="AM57" s="230"/>
      <c r="AN57" s="230"/>
      <c r="AO57" s="230"/>
      <c r="AP57" s="230"/>
      <c r="AQ57" s="230"/>
      <c r="AR57" s="231"/>
    </row>
    <row r="58" spans="2:44" ht="19.5" customHeight="1">
      <c r="B58" s="211" t="s">
        <v>278</v>
      </c>
      <c r="C58" s="212"/>
      <c r="D58" s="212"/>
      <c r="E58" s="212"/>
      <c r="F58" s="212"/>
      <c r="G58" s="212"/>
      <c r="H58" s="212"/>
      <c r="I58" s="212"/>
      <c r="J58" s="212"/>
      <c r="K58" s="229"/>
      <c r="L58" s="230"/>
      <c r="M58" s="230"/>
      <c r="N58" s="230"/>
      <c r="O58" s="230"/>
      <c r="P58" s="230"/>
      <c r="Q58" s="230"/>
      <c r="R58" s="230"/>
      <c r="S58" s="230"/>
      <c r="T58" s="230"/>
      <c r="U58" s="230"/>
      <c r="V58" s="231"/>
      <c r="X58" s="229"/>
      <c r="Y58" s="230"/>
      <c r="Z58" s="230"/>
      <c r="AA58" s="230"/>
      <c r="AB58" s="230"/>
      <c r="AC58" s="214"/>
      <c r="AD58" s="214"/>
      <c r="AE58" s="214"/>
      <c r="AF58" s="214"/>
      <c r="AG58" s="229"/>
      <c r="AH58" s="230"/>
      <c r="AI58" s="230"/>
      <c r="AJ58" s="230"/>
      <c r="AK58" s="230"/>
      <c r="AL58" s="230"/>
      <c r="AM58" s="230"/>
      <c r="AN58" s="230"/>
      <c r="AO58" s="230"/>
      <c r="AP58" s="230"/>
      <c r="AQ58" s="230"/>
      <c r="AR58" s="231"/>
    </row>
    <row r="59" spans="2:44" ht="19.5" customHeight="1">
      <c r="B59" s="215"/>
      <c r="C59" s="212" t="s">
        <v>279</v>
      </c>
      <c r="D59" s="212"/>
      <c r="E59" s="212"/>
      <c r="F59" s="212"/>
      <c r="G59" s="212"/>
      <c r="H59" s="212"/>
      <c r="I59" s="212"/>
      <c r="J59" s="212"/>
      <c r="K59" s="229"/>
      <c r="L59" s="230"/>
      <c r="M59" s="230"/>
      <c r="N59" s="230"/>
      <c r="O59" s="230"/>
      <c r="P59" s="230"/>
      <c r="Q59" s="230"/>
      <c r="R59" s="230"/>
      <c r="S59" s="230"/>
      <c r="T59" s="230"/>
      <c r="U59" s="230"/>
      <c r="V59" s="231"/>
      <c r="X59" s="229"/>
      <c r="Y59" s="230"/>
      <c r="Z59" s="230"/>
      <c r="AA59" s="230"/>
      <c r="AB59" s="230"/>
      <c r="AC59" s="214"/>
      <c r="AD59" s="214"/>
      <c r="AE59" s="214"/>
      <c r="AF59" s="214"/>
      <c r="AG59" s="229"/>
      <c r="AH59" s="230"/>
      <c r="AI59" s="230"/>
      <c r="AJ59" s="230"/>
      <c r="AK59" s="230"/>
      <c r="AL59" s="230"/>
      <c r="AM59" s="230"/>
      <c r="AN59" s="230"/>
      <c r="AO59" s="230"/>
      <c r="AP59" s="230"/>
      <c r="AQ59" s="230"/>
      <c r="AR59" s="231"/>
    </row>
    <row r="60" spans="2:44" ht="19.5" customHeight="1">
      <c r="B60" s="215"/>
      <c r="C60" s="212" t="s">
        <v>280</v>
      </c>
      <c r="D60" s="212"/>
      <c r="E60" s="212"/>
      <c r="F60" s="212"/>
      <c r="G60" s="212"/>
      <c r="H60" s="212"/>
      <c r="I60" s="212"/>
      <c r="J60" s="212"/>
      <c r="K60" s="229"/>
      <c r="L60" s="230"/>
      <c r="M60" s="230"/>
      <c r="N60" s="230"/>
      <c r="O60" s="230"/>
      <c r="P60" s="230"/>
      <c r="Q60" s="230"/>
      <c r="R60" s="230"/>
      <c r="S60" s="230"/>
      <c r="T60" s="230"/>
      <c r="U60" s="230"/>
      <c r="V60" s="231"/>
      <c r="X60" s="229"/>
      <c r="Y60" s="230"/>
      <c r="Z60" s="230"/>
      <c r="AA60" s="230"/>
      <c r="AB60" s="230"/>
      <c r="AC60" s="214"/>
      <c r="AD60" s="214"/>
      <c r="AE60" s="214"/>
      <c r="AF60" s="214"/>
      <c r="AG60" s="229"/>
      <c r="AH60" s="230"/>
      <c r="AI60" s="230"/>
      <c r="AJ60" s="230"/>
      <c r="AK60" s="230"/>
      <c r="AL60" s="230"/>
      <c r="AM60" s="230"/>
      <c r="AN60" s="230"/>
      <c r="AO60" s="230"/>
      <c r="AP60" s="230"/>
      <c r="AQ60" s="230"/>
      <c r="AR60" s="231"/>
    </row>
    <row r="61" spans="2:44" ht="19.5" customHeight="1">
      <c r="B61" s="215"/>
      <c r="C61" s="212" t="s">
        <v>281</v>
      </c>
      <c r="D61" s="212"/>
      <c r="E61" s="212"/>
      <c r="F61" s="212"/>
      <c r="G61" s="212"/>
      <c r="H61" s="212"/>
      <c r="I61" s="212"/>
      <c r="J61" s="212"/>
      <c r="K61" s="229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1"/>
      <c r="X61" s="229"/>
      <c r="Y61" s="230"/>
      <c r="Z61" s="230"/>
      <c r="AA61" s="230"/>
      <c r="AB61" s="230"/>
      <c r="AC61" s="214"/>
      <c r="AD61" s="214"/>
      <c r="AE61" s="214"/>
      <c r="AF61" s="214"/>
      <c r="AG61" s="229"/>
      <c r="AH61" s="230"/>
      <c r="AI61" s="230"/>
      <c r="AJ61" s="230"/>
      <c r="AK61" s="230"/>
      <c r="AL61" s="230"/>
      <c r="AM61" s="230"/>
      <c r="AN61" s="230"/>
      <c r="AO61" s="230"/>
      <c r="AP61" s="230"/>
      <c r="AQ61" s="230"/>
      <c r="AR61" s="231"/>
    </row>
    <row r="62" spans="2:44" ht="19.5" customHeight="1">
      <c r="B62" s="215"/>
      <c r="C62" s="214" t="s">
        <v>282</v>
      </c>
      <c r="D62" s="214"/>
      <c r="E62" s="214"/>
      <c r="F62" s="214"/>
      <c r="G62" s="214"/>
      <c r="H62" s="214"/>
      <c r="I62" s="214"/>
      <c r="J62" s="214"/>
      <c r="K62" s="229"/>
      <c r="L62" s="230"/>
      <c r="M62" s="230"/>
      <c r="N62" s="230"/>
      <c r="O62" s="230"/>
      <c r="P62" s="230"/>
      <c r="Q62" s="230"/>
      <c r="R62" s="230"/>
      <c r="S62" s="230"/>
      <c r="T62" s="230"/>
      <c r="U62" s="230"/>
      <c r="V62" s="231"/>
      <c r="X62" s="229"/>
      <c r="Y62" s="230"/>
      <c r="Z62" s="230"/>
      <c r="AA62" s="230"/>
      <c r="AB62" s="230"/>
      <c r="AC62" s="214"/>
      <c r="AD62" s="214"/>
      <c r="AE62" s="214"/>
      <c r="AF62" s="214"/>
      <c r="AG62" s="229"/>
      <c r="AH62" s="230"/>
      <c r="AI62" s="230"/>
      <c r="AJ62" s="230"/>
      <c r="AK62" s="230"/>
      <c r="AL62" s="230"/>
      <c r="AM62" s="230"/>
      <c r="AN62" s="230"/>
      <c r="AO62" s="230"/>
      <c r="AP62" s="230"/>
      <c r="AQ62" s="230"/>
      <c r="AR62" s="231"/>
    </row>
    <row r="63" spans="2:44" ht="19.5" customHeight="1">
      <c r="B63" s="215"/>
      <c r="C63" s="237" t="s">
        <v>288</v>
      </c>
      <c r="D63" s="214"/>
      <c r="E63" s="214"/>
      <c r="F63" s="214"/>
      <c r="G63" s="214"/>
      <c r="H63" s="214"/>
      <c r="I63" s="214"/>
      <c r="J63" s="214"/>
      <c r="K63" s="229"/>
      <c r="L63" s="230"/>
      <c r="M63" s="230"/>
      <c r="N63" s="230"/>
      <c r="O63" s="230"/>
      <c r="P63" s="230"/>
      <c r="Q63" s="230"/>
      <c r="R63" s="230"/>
      <c r="S63" s="230"/>
      <c r="T63" s="230"/>
      <c r="U63" s="230"/>
      <c r="V63" s="231"/>
      <c r="X63" s="229"/>
      <c r="Y63" s="230"/>
      <c r="Z63" s="230"/>
      <c r="AA63" s="230"/>
      <c r="AB63" s="230"/>
      <c r="AC63" s="214"/>
      <c r="AD63" s="214"/>
      <c r="AE63" s="214"/>
      <c r="AF63" s="214"/>
      <c r="AG63" s="229"/>
      <c r="AH63" s="230"/>
      <c r="AI63" s="230"/>
      <c r="AJ63" s="230"/>
      <c r="AK63" s="230"/>
      <c r="AL63" s="230"/>
      <c r="AM63" s="230"/>
      <c r="AN63" s="230"/>
      <c r="AO63" s="230"/>
      <c r="AP63" s="230"/>
      <c r="AQ63" s="230"/>
      <c r="AR63" s="231"/>
    </row>
    <row r="64" spans="2:44" ht="19.5" customHeight="1">
      <c r="B64" s="215"/>
      <c r="C64" s="237" t="s">
        <v>289</v>
      </c>
      <c r="D64" s="214"/>
      <c r="E64" s="214"/>
      <c r="F64" s="214"/>
      <c r="G64" s="214"/>
      <c r="H64" s="214"/>
      <c r="I64" s="214"/>
      <c r="J64" s="214"/>
      <c r="K64" s="229"/>
      <c r="L64" s="230"/>
      <c r="M64" s="230"/>
      <c r="N64" s="230"/>
      <c r="O64" s="230"/>
      <c r="P64" s="230"/>
      <c r="Q64" s="230"/>
      <c r="R64" s="230"/>
      <c r="S64" s="230"/>
      <c r="T64" s="230"/>
      <c r="U64" s="230"/>
      <c r="V64" s="231"/>
      <c r="X64" s="229"/>
      <c r="Y64" s="230"/>
      <c r="Z64" s="230"/>
      <c r="AA64" s="230"/>
      <c r="AB64" s="230"/>
      <c r="AC64" s="214"/>
      <c r="AD64" s="214"/>
      <c r="AE64" s="214"/>
      <c r="AF64" s="214"/>
      <c r="AG64" s="229"/>
      <c r="AH64" s="230"/>
      <c r="AI64" s="230"/>
      <c r="AJ64" s="230"/>
      <c r="AK64" s="230"/>
      <c r="AL64" s="230"/>
      <c r="AM64" s="230"/>
      <c r="AN64" s="230"/>
      <c r="AO64" s="230"/>
      <c r="AP64" s="230"/>
      <c r="AQ64" s="230"/>
      <c r="AR64" s="231"/>
    </row>
    <row r="65" spans="1:44" ht="19.5" customHeight="1">
      <c r="B65" s="215"/>
      <c r="C65" s="214" t="s">
        <v>290</v>
      </c>
      <c r="D65" s="214"/>
      <c r="E65" s="214"/>
      <c r="F65" s="214"/>
      <c r="G65" s="214"/>
      <c r="H65" s="214"/>
      <c r="I65" s="214"/>
      <c r="J65" s="214"/>
      <c r="K65" s="229"/>
      <c r="L65" s="230"/>
      <c r="M65" s="230"/>
      <c r="N65" s="230"/>
      <c r="O65" s="230"/>
      <c r="P65" s="230"/>
      <c r="Q65" s="230"/>
      <c r="R65" s="230"/>
      <c r="S65" s="230"/>
      <c r="T65" s="230"/>
      <c r="U65" s="230"/>
      <c r="V65" s="231"/>
      <c r="X65" s="229"/>
      <c r="Y65" s="230"/>
      <c r="Z65" s="230"/>
      <c r="AA65" s="230"/>
      <c r="AB65" s="230"/>
      <c r="AC65" s="214"/>
      <c r="AD65" s="214"/>
      <c r="AE65" s="214"/>
      <c r="AF65" s="214"/>
      <c r="AG65" s="229"/>
      <c r="AH65" s="230"/>
      <c r="AI65" s="230"/>
      <c r="AJ65" s="230"/>
      <c r="AK65" s="230"/>
      <c r="AL65" s="230"/>
      <c r="AM65" s="230"/>
      <c r="AN65" s="230"/>
      <c r="AO65" s="230"/>
      <c r="AP65" s="230"/>
      <c r="AQ65" s="230"/>
      <c r="AR65" s="231"/>
    </row>
    <row r="66" spans="1:44" ht="19.5" customHeight="1">
      <c r="B66" s="215"/>
      <c r="C66" s="214" t="s">
        <v>291</v>
      </c>
      <c r="D66" s="214"/>
      <c r="E66" s="214"/>
      <c r="F66" s="214"/>
      <c r="G66" s="214"/>
      <c r="H66" s="214"/>
      <c r="I66" s="214"/>
      <c r="J66" s="214"/>
      <c r="K66" s="229"/>
      <c r="L66" s="230"/>
      <c r="M66" s="230"/>
      <c r="N66" s="230"/>
      <c r="O66" s="230"/>
      <c r="P66" s="230"/>
      <c r="Q66" s="230"/>
      <c r="R66" s="230"/>
      <c r="S66" s="230"/>
      <c r="T66" s="230"/>
      <c r="U66" s="230"/>
      <c r="V66" s="231"/>
      <c r="X66" s="229"/>
      <c r="Y66" s="230"/>
      <c r="Z66" s="230"/>
      <c r="AA66" s="230"/>
      <c r="AB66" s="230"/>
      <c r="AC66" s="214"/>
      <c r="AD66" s="214"/>
      <c r="AE66" s="214"/>
      <c r="AF66" s="214"/>
      <c r="AG66" s="229"/>
      <c r="AH66" s="230"/>
      <c r="AI66" s="230"/>
      <c r="AJ66" s="230"/>
      <c r="AK66" s="230"/>
      <c r="AL66" s="230"/>
      <c r="AM66" s="230"/>
      <c r="AN66" s="230"/>
      <c r="AO66" s="230"/>
      <c r="AP66" s="230"/>
      <c r="AQ66" s="230"/>
      <c r="AR66" s="231"/>
    </row>
    <row r="67" spans="1:44" ht="19.5" customHeight="1">
      <c r="B67" s="215"/>
      <c r="C67" s="237" t="s">
        <v>296</v>
      </c>
      <c r="D67" s="214"/>
      <c r="E67" s="214"/>
      <c r="F67" s="214"/>
      <c r="G67" s="214"/>
      <c r="H67" s="214"/>
      <c r="I67" s="214"/>
      <c r="J67" s="214"/>
      <c r="K67" s="229"/>
      <c r="L67" s="230"/>
      <c r="M67" s="230"/>
      <c r="N67" s="230"/>
      <c r="O67" s="230"/>
      <c r="P67" s="230"/>
      <c r="Q67" s="230"/>
      <c r="R67" s="230"/>
      <c r="S67" s="230"/>
      <c r="T67" s="230"/>
      <c r="U67" s="230"/>
      <c r="V67" s="231"/>
      <c r="X67" s="229"/>
      <c r="Y67" s="230"/>
      <c r="Z67" s="230"/>
      <c r="AA67" s="230"/>
      <c r="AB67" s="230"/>
      <c r="AC67" s="214"/>
      <c r="AD67" s="214"/>
      <c r="AE67" s="214"/>
      <c r="AF67" s="214"/>
      <c r="AG67" s="229"/>
      <c r="AH67" s="230"/>
      <c r="AI67" s="230"/>
      <c r="AJ67" s="230"/>
      <c r="AK67" s="230"/>
      <c r="AL67" s="230"/>
      <c r="AM67" s="230"/>
      <c r="AN67" s="230"/>
      <c r="AO67" s="230"/>
      <c r="AP67" s="230"/>
      <c r="AQ67" s="230"/>
      <c r="AR67" s="231"/>
    </row>
    <row r="68" spans="1:44" ht="19.5" customHeight="1">
      <c r="B68" s="215"/>
      <c r="C68" s="214" t="s">
        <v>292</v>
      </c>
      <c r="D68" s="214"/>
      <c r="E68" s="214"/>
      <c r="F68" s="214"/>
      <c r="G68" s="214"/>
      <c r="H68" s="214"/>
      <c r="I68" s="214"/>
      <c r="J68" s="214"/>
      <c r="K68" s="229"/>
      <c r="L68" s="230"/>
      <c r="M68" s="230"/>
      <c r="N68" s="230"/>
      <c r="O68" s="230"/>
      <c r="P68" s="230"/>
      <c r="Q68" s="230"/>
      <c r="R68" s="230"/>
      <c r="S68" s="230"/>
      <c r="T68" s="230"/>
      <c r="U68" s="230"/>
      <c r="V68" s="231"/>
      <c r="X68" s="229"/>
      <c r="Y68" s="230"/>
      <c r="Z68" s="230"/>
      <c r="AA68" s="230"/>
      <c r="AB68" s="230"/>
      <c r="AC68" s="214"/>
      <c r="AD68" s="214"/>
      <c r="AE68" s="214"/>
      <c r="AF68" s="214"/>
      <c r="AG68" s="229"/>
      <c r="AH68" s="230"/>
      <c r="AI68" s="230"/>
      <c r="AJ68" s="230"/>
      <c r="AK68" s="230"/>
      <c r="AL68" s="230"/>
      <c r="AM68" s="230"/>
      <c r="AN68" s="230"/>
      <c r="AO68" s="230"/>
      <c r="AP68" s="230"/>
      <c r="AQ68" s="230"/>
      <c r="AR68" s="231"/>
    </row>
    <row r="69" spans="1:44" ht="19.5" customHeight="1">
      <c r="B69" s="215"/>
      <c r="C69" s="214" t="s">
        <v>293</v>
      </c>
      <c r="D69" s="214"/>
      <c r="E69" s="214"/>
      <c r="F69" s="214"/>
      <c r="G69" s="214"/>
      <c r="H69" s="214"/>
      <c r="I69" s="214"/>
      <c r="J69" s="214"/>
      <c r="K69" s="229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1"/>
      <c r="X69" s="229"/>
      <c r="Y69" s="230"/>
      <c r="Z69" s="230"/>
      <c r="AA69" s="230"/>
      <c r="AB69" s="230"/>
      <c r="AC69" s="214"/>
      <c r="AD69" s="214"/>
      <c r="AE69" s="214"/>
      <c r="AF69" s="214"/>
      <c r="AG69" s="229"/>
      <c r="AH69" s="230"/>
      <c r="AI69" s="230"/>
      <c r="AJ69" s="230"/>
      <c r="AK69" s="230"/>
      <c r="AL69" s="230"/>
      <c r="AM69" s="230"/>
      <c r="AN69" s="230"/>
      <c r="AO69" s="230"/>
      <c r="AP69" s="230"/>
      <c r="AQ69" s="230"/>
      <c r="AR69" s="231"/>
    </row>
    <row r="70" spans="1:44" ht="19.5" customHeight="1">
      <c r="B70" s="215"/>
      <c r="C70" s="214" t="s">
        <v>294</v>
      </c>
      <c r="D70" s="214"/>
      <c r="E70" s="214"/>
      <c r="F70" s="214"/>
      <c r="G70" s="214"/>
      <c r="H70" s="214"/>
      <c r="I70" s="214"/>
      <c r="J70" s="214"/>
      <c r="K70" s="229"/>
      <c r="L70" s="230"/>
      <c r="M70" s="230"/>
      <c r="N70" s="230"/>
      <c r="O70" s="230"/>
      <c r="P70" s="230"/>
      <c r="Q70" s="230"/>
      <c r="R70" s="230"/>
      <c r="S70" s="230"/>
      <c r="T70" s="230"/>
      <c r="U70" s="230"/>
      <c r="V70" s="231"/>
      <c r="X70" s="229"/>
      <c r="Y70" s="230"/>
      <c r="Z70" s="230"/>
      <c r="AA70" s="230"/>
      <c r="AB70" s="230"/>
      <c r="AC70" s="214"/>
      <c r="AD70" s="214"/>
      <c r="AE70" s="214"/>
      <c r="AF70" s="214"/>
      <c r="AG70" s="229"/>
      <c r="AH70" s="230"/>
      <c r="AI70" s="230"/>
      <c r="AJ70" s="230"/>
      <c r="AK70" s="230"/>
      <c r="AL70" s="230"/>
      <c r="AM70" s="230"/>
      <c r="AN70" s="230"/>
      <c r="AO70" s="230"/>
      <c r="AP70" s="230"/>
      <c r="AQ70" s="230"/>
      <c r="AR70" s="231"/>
    </row>
    <row r="71" spans="1:44" ht="19.5" customHeight="1">
      <c r="B71" s="215"/>
      <c r="C71" s="214" t="s">
        <v>295</v>
      </c>
      <c r="D71" s="214"/>
      <c r="E71" s="214"/>
      <c r="F71" s="214"/>
      <c r="G71" s="214"/>
      <c r="H71" s="214"/>
      <c r="I71" s="214"/>
      <c r="J71" s="214"/>
      <c r="K71" s="229"/>
      <c r="L71" s="230"/>
      <c r="M71" s="230"/>
      <c r="N71" s="230"/>
      <c r="O71" s="230"/>
      <c r="P71" s="230"/>
      <c r="Q71" s="230"/>
      <c r="R71" s="230"/>
      <c r="S71" s="230"/>
      <c r="T71" s="230"/>
      <c r="U71" s="230"/>
      <c r="V71" s="231"/>
      <c r="X71" s="229"/>
      <c r="Y71" s="230"/>
      <c r="Z71" s="230"/>
      <c r="AA71" s="230"/>
      <c r="AB71" s="230"/>
      <c r="AC71" s="214"/>
      <c r="AD71" s="214"/>
      <c r="AE71" s="214"/>
      <c r="AF71" s="214"/>
      <c r="AG71" s="229"/>
      <c r="AH71" s="230"/>
      <c r="AI71" s="230"/>
      <c r="AJ71" s="230"/>
      <c r="AK71" s="230"/>
      <c r="AL71" s="230"/>
      <c r="AM71" s="230"/>
      <c r="AN71" s="230"/>
      <c r="AO71" s="230"/>
      <c r="AP71" s="230"/>
      <c r="AQ71" s="230"/>
      <c r="AR71" s="231"/>
    </row>
    <row r="72" spans="1:44" ht="19.5" customHeight="1">
      <c r="B72" s="215"/>
      <c r="C72" s="214" t="s">
        <v>298</v>
      </c>
      <c r="D72" s="214"/>
      <c r="E72" s="214"/>
      <c r="F72" s="214"/>
      <c r="G72" s="214"/>
      <c r="H72" s="214"/>
      <c r="I72" s="214"/>
      <c r="J72" s="214"/>
      <c r="K72" s="229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1"/>
      <c r="X72" s="229"/>
      <c r="Y72" s="230"/>
      <c r="Z72" s="230"/>
      <c r="AA72" s="230"/>
      <c r="AB72" s="230"/>
      <c r="AC72" s="214"/>
      <c r="AD72" s="214"/>
      <c r="AE72" s="214"/>
      <c r="AF72" s="214"/>
      <c r="AG72" s="229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R72" s="231"/>
    </row>
    <row r="73" spans="1:44" ht="19.5" customHeight="1">
      <c r="B73" s="218"/>
      <c r="C73" s="236" t="s">
        <v>297</v>
      </c>
      <c r="D73" s="236"/>
      <c r="E73" s="236"/>
      <c r="F73" s="236"/>
      <c r="G73" s="236"/>
      <c r="H73" s="236"/>
      <c r="I73" s="236"/>
      <c r="J73" s="236"/>
      <c r="K73" s="229"/>
      <c r="L73" s="236"/>
      <c r="M73" s="236"/>
      <c r="N73" s="236"/>
      <c r="O73" s="236"/>
      <c r="P73" s="230"/>
      <c r="Q73" s="230"/>
      <c r="R73" s="230"/>
      <c r="S73" s="230"/>
      <c r="T73" s="230"/>
      <c r="U73" s="230"/>
      <c r="V73" s="231"/>
      <c r="X73" s="229"/>
      <c r="Y73" s="230"/>
      <c r="Z73" s="230"/>
      <c r="AA73" s="230"/>
      <c r="AB73" s="230"/>
      <c r="AC73" s="214"/>
      <c r="AD73" s="214"/>
      <c r="AE73" s="214"/>
      <c r="AF73" s="214"/>
      <c r="AG73" s="229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R73" s="231"/>
    </row>
    <row r="76" spans="1:44" s="207" customFormat="1" ht="19.5" customHeight="1" thickBot="1">
      <c r="A76" s="209" t="s">
        <v>262</v>
      </c>
      <c r="B76" s="206"/>
      <c r="C76" s="206"/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  <c r="AD76" s="206"/>
      <c r="AE76" s="206"/>
      <c r="AF76" s="206"/>
      <c r="AG76" s="206"/>
      <c r="AH76" s="206"/>
      <c r="AI76" s="206"/>
      <c r="AJ76" s="206"/>
      <c r="AK76" s="206"/>
      <c r="AL76" s="206"/>
      <c r="AM76" s="206"/>
      <c r="AN76" s="206"/>
      <c r="AO76" s="206"/>
    </row>
    <row r="77" spans="1:44" s="207" customFormat="1" ht="19.5" customHeight="1" thickTop="1">
      <c r="B77" s="207" t="s">
        <v>263</v>
      </c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  <c r="X77" s="208"/>
      <c r="Y77" s="208"/>
      <c r="Z77" s="208"/>
      <c r="AA77" s="208"/>
      <c r="AB77" s="208"/>
      <c r="AC77" s="208"/>
      <c r="AD77" s="208"/>
      <c r="AE77" s="208"/>
      <c r="AF77" s="208"/>
      <c r="AG77" s="208"/>
      <c r="AH77" s="208"/>
      <c r="AI77" s="208"/>
      <c r="AJ77" s="208"/>
      <c r="AK77" s="208"/>
      <c r="AL77" s="208"/>
      <c r="AM77" s="208"/>
      <c r="AN77" s="208"/>
      <c r="AO77" s="208"/>
    </row>
    <row r="78" spans="1:44" s="207" customFormat="1" ht="19.5" customHeight="1">
      <c r="D78" s="208"/>
      <c r="E78" s="208"/>
      <c r="F78" s="208" t="s">
        <v>264</v>
      </c>
      <c r="G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8"/>
    </row>
    <row r="79" spans="1:44" s="207" customFormat="1" ht="19.5" customHeight="1">
      <c r="C79" s="208"/>
      <c r="D79" s="208"/>
      <c r="E79" s="208"/>
      <c r="F79" s="208"/>
      <c r="G79" s="208" t="s">
        <v>265</v>
      </c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  <c r="X79" s="208"/>
      <c r="Y79" s="208"/>
      <c r="Z79" s="208"/>
      <c r="AA79" s="208"/>
      <c r="AB79" s="208"/>
      <c r="AC79" s="208"/>
      <c r="AD79" s="208"/>
      <c r="AE79" s="208"/>
      <c r="AF79" s="208"/>
      <c r="AG79" s="208"/>
      <c r="AH79" s="208"/>
      <c r="AI79" s="208"/>
      <c r="AJ79" s="208"/>
      <c r="AK79" s="208"/>
      <c r="AL79" s="208"/>
      <c r="AM79" s="208"/>
      <c r="AN79" s="208"/>
      <c r="AO79" s="208"/>
    </row>
    <row r="80" spans="1:44" s="207" customFormat="1" ht="19.5" customHeight="1"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  <c r="X80" s="208"/>
      <c r="Y80" s="208"/>
      <c r="Z80" s="208"/>
      <c r="AA80" s="208"/>
      <c r="AB80" s="208"/>
      <c r="AC80" s="208"/>
      <c r="AD80" s="208"/>
      <c r="AE80" s="208"/>
      <c r="AF80" s="208"/>
      <c r="AG80" s="208"/>
      <c r="AH80" s="208"/>
      <c r="AI80" s="208"/>
      <c r="AJ80" s="208"/>
      <c r="AK80" s="208"/>
      <c r="AL80" s="208"/>
      <c r="AM80" s="208"/>
      <c r="AN80" s="208"/>
      <c r="AO80" s="208"/>
    </row>
    <row r="81" spans="3:41" s="207" customFormat="1" ht="19.5" customHeight="1"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  <c r="X81" s="208"/>
      <c r="Y81" s="208"/>
      <c r="Z81" s="208"/>
      <c r="AA81" s="208"/>
      <c r="AB81" s="208"/>
      <c r="AC81" s="208"/>
      <c r="AD81" s="208"/>
      <c r="AE81" s="208"/>
      <c r="AF81" s="208"/>
      <c r="AG81" s="208"/>
      <c r="AH81" s="208"/>
      <c r="AI81" s="208"/>
      <c r="AJ81" s="208"/>
      <c r="AK81" s="208"/>
      <c r="AL81" s="208"/>
      <c r="AM81" s="208"/>
      <c r="AN81" s="208"/>
      <c r="AO81" s="208"/>
    </row>
    <row r="82" spans="3:41" s="207" customFormat="1" ht="19.5" customHeight="1">
      <c r="C82" s="208"/>
      <c r="D82" s="208"/>
      <c r="E82" s="208"/>
      <c r="F82" s="208" t="s">
        <v>266</v>
      </c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  <c r="X82" s="208"/>
      <c r="Y82" s="208"/>
      <c r="Z82" s="208"/>
      <c r="AA82" s="208"/>
      <c r="AB82" s="208"/>
      <c r="AC82" s="208"/>
      <c r="AD82" s="208"/>
      <c r="AE82" s="208"/>
      <c r="AF82" s="208"/>
      <c r="AG82" s="208"/>
      <c r="AH82" s="208"/>
      <c r="AI82" s="208"/>
      <c r="AJ82" s="208"/>
      <c r="AK82" s="208"/>
      <c r="AL82" s="208"/>
      <c r="AM82" s="208"/>
      <c r="AN82" s="208"/>
      <c r="AO82" s="208"/>
    </row>
    <row r="83" spans="3:41" s="207" customFormat="1" ht="19.5" customHeight="1">
      <c r="C83" s="208"/>
      <c r="D83" s="208"/>
      <c r="E83" s="208"/>
      <c r="F83" s="208"/>
      <c r="G83" s="208" t="s">
        <v>267</v>
      </c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  <c r="X83" s="208"/>
      <c r="Y83" s="208"/>
      <c r="Z83" s="208"/>
      <c r="AA83" s="208"/>
      <c r="AB83" s="208"/>
      <c r="AC83" s="208"/>
      <c r="AD83" s="208"/>
      <c r="AE83" s="208"/>
      <c r="AF83" s="208"/>
      <c r="AG83" s="208"/>
      <c r="AH83" s="208"/>
      <c r="AI83" s="208"/>
      <c r="AJ83" s="208"/>
      <c r="AK83" s="208"/>
      <c r="AL83" s="208"/>
      <c r="AM83" s="208"/>
      <c r="AN83" s="208"/>
      <c r="AO83" s="208"/>
    </row>
    <row r="84" spans="3:41" s="207" customFormat="1" ht="19.5" customHeight="1">
      <c r="C84" s="208"/>
      <c r="D84" s="208"/>
      <c r="E84" s="208"/>
      <c r="F84" s="208"/>
      <c r="G84" s="210" t="s">
        <v>270</v>
      </c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  <c r="X84" s="208"/>
      <c r="Y84" s="208"/>
      <c r="Z84" s="208"/>
      <c r="AA84" s="208"/>
      <c r="AB84" s="208"/>
      <c r="AC84" s="208"/>
      <c r="AD84" s="208"/>
      <c r="AE84" s="208"/>
      <c r="AF84" s="208"/>
      <c r="AG84" s="208"/>
      <c r="AH84" s="208"/>
      <c r="AI84" s="208"/>
      <c r="AJ84" s="208"/>
      <c r="AK84" s="208"/>
      <c r="AL84" s="208"/>
      <c r="AM84" s="208"/>
      <c r="AN84" s="208"/>
      <c r="AO84" s="208"/>
    </row>
    <row r="85" spans="3:41" s="207" customFormat="1" ht="19.5" customHeight="1"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  <c r="X85" s="208"/>
      <c r="Y85" s="208"/>
      <c r="Z85" s="208"/>
      <c r="AA85" s="208"/>
      <c r="AB85" s="208"/>
      <c r="AC85" s="208"/>
      <c r="AD85" s="208"/>
      <c r="AE85" s="208"/>
      <c r="AF85" s="208"/>
      <c r="AG85" s="208"/>
      <c r="AH85" s="208"/>
      <c r="AI85" s="208"/>
      <c r="AJ85" s="208"/>
      <c r="AK85" s="208"/>
      <c r="AL85" s="208"/>
      <c r="AM85" s="208"/>
      <c r="AN85" s="208"/>
      <c r="AO85" s="208"/>
    </row>
    <row r="86" spans="3:41" s="207" customFormat="1" ht="19.5" customHeight="1"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  <c r="X86" s="208"/>
      <c r="Y86" s="208"/>
      <c r="Z86" s="208"/>
      <c r="AA86" s="208"/>
      <c r="AB86" s="208"/>
      <c r="AC86" s="208"/>
      <c r="AD86" s="208"/>
      <c r="AE86" s="208"/>
      <c r="AF86" s="208"/>
      <c r="AG86" s="208"/>
      <c r="AH86" s="208"/>
      <c r="AI86" s="208"/>
      <c r="AJ86" s="208"/>
      <c r="AK86" s="208"/>
      <c r="AL86" s="208"/>
      <c r="AM86" s="208"/>
      <c r="AN86" s="208"/>
      <c r="AO86" s="208"/>
    </row>
    <row r="87" spans="3:41" s="207" customFormat="1" ht="19.5" customHeight="1"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  <c r="X87" s="208"/>
      <c r="Y87" s="208"/>
      <c r="Z87" s="208"/>
      <c r="AA87" s="208"/>
      <c r="AB87" s="208"/>
      <c r="AC87" s="208"/>
      <c r="AD87" s="208"/>
      <c r="AE87" s="208"/>
      <c r="AF87" s="208"/>
      <c r="AG87" s="208"/>
      <c r="AH87" s="208"/>
      <c r="AI87" s="208"/>
      <c r="AJ87" s="208"/>
      <c r="AK87" s="208"/>
      <c r="AL87" s="208"/>
      <c r="AM87" s="208"/>
      <c r="AN87" s="208"/>
      <c r="AO87" s="208"/>
    </row>
    <row r="88" spans="3:41" s="207" customFormat="1" ht="19.5" customHeight="1"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  <c r="X88" s="208"/>
      <c r="Y88" s="208"/>
      <c r="Z88" s="208"/>
      <c r="AA88" s="208"/>
      <c r="AB88" s="208"/>
      <c r="AC88" s="208"/>
      <c r="AD88" s="208"/>
      <c r="AE88" s="208"/>
      <c r="AF88" s="208"/>
      <c r="AG88" s="208"/>
      <c r="AH88" s="208"/>
      <c r="AI88" s="208"/>
      <c r="AJ88" s="208"/>
      <c r="AK88" s="208"/>
      <c r="AL88" s="208"/>
      <c r="AM88" s="208"/>
      <c r="AN88" s="208"/>
      <c r="AO88" s="208"/>
    </row>
    <row r="89" spans="3:41" s="207" customFormat="1" ht="19.5" customHeight="1"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  <c r="X89" s="208"/>
      <c r="Y89" s="208"/>
      <c r="Z89" s="208"/>
      <c r="AA89" s="208"/>
      <c r="AB89" s="208"/>
      <c r="AC89" s="208"/>
      <c r="AD89" s="208"/>
      <c r="AE89" s="208"/>
      <c r="AF89" s="208"/>
      <c r="AG89" s="208"/>
      <c r="AH89" s="208"/>
      <c r="AI89" s="208"/>
      <c r="AJ89" s="208"/>
      <c r="AK89" s="208"/>
      <c r="AL89" s="208"/>
      <c r="AM89" s="208"/>
      <c r="AN89" s="208"/>
      <c r="AO89" s="208"/>
    </row>
    <row r="90" spans="3:41" s="207" customFormat="1" ht="19.5" customHeight="1"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  <c r="X90" s="208"/>
      <c r="Y90" s="208"/>
      <c r="Z90" s="208"/>
      <c r="AA90" s="208"/>
      <c r="AB90" s="208"/>
      <c r="AC90" s="208"/>
      <c r="AD90" s="208"/>
      <c r="AE90" s="208"/>
      <c r="AF90" s="208"/>
      <c r="AG90" s="208"/>
      <c r="AH90" s="208"/>
      <c r="AI90" s="208"/>
      <c r="AJ90" s="208"/>
      <c r="AK90" s="208"/>
      <c r="AL90" s="208"/>
      <c r="AM90" s="208"/>
      <c r="AN90" s="208"/>
      <c r="AO90" s="208"/>
    </row>
    <row r="91" spans="3:41" s="207" customFormat="1" ht="19.5" customHeight="1"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  <c r="X91" s="208"/>
      <c r="Y91" s="208"/>
      <c r="Z91" s="208"/>
      <c r="AA91" s="208"/>
      <c r="AB91" s="208"/>
      <c r="AC91" s="208"/>
      <c r="AD91" s="208"/>
      <c r="AE91" s="208"/>
      <c r="AF91" s="208"/>
      <c r="AG91" s="208"/>
      <c r="AH91" s="208"/>
      <c r="AI91" s="208"/>
      <c r="AJ91" s="208"/>
      <c r="AK91" s="208"/>
      <c r="AL91" s="208"/>
      <c r="AM91" s="208"/>
      <c r="AN91" s="208"/>
      <c r="AO91" s="208"/>
    </row>
    <row r="92" spans="3:41" s="207" customFormat="1" ht="19.5" customHeight="1"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  <c r="X92" s="208"/>
      <c r="Y92" s="208"/>
      <c r="Z92" s="208"/>
      <c r="AA92" s="208"/>
      <c r="AB92" s="208"/>
      <c r="AC92" s="208"/>
      <c r="AD92" s="208"/>
      <c r="AE92" s="208"/>
      <c r="AF92" s="208"/>
      <c r="AG92" s="208"/>
      <c r="AH92" s="208"/>
      <c r="AI92" s="208"/>
      <c r="AJ92" s="208"/>
      <c r="AK92" s="208"/>
      <c r="AL92" s="208"/>
      <c r="AM92" s="208"/>
      <c r="AN92" s="208"/>
      <c r="AO92" s="208"/>
    </row>
    <row r="93" spans="3:41" s="207" customFormat="1" ht="19.5" customHeight="1"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  <c r="X93" s="208"/>
      <c r="Y93" s="208"/>
      <c r="Z93" s="208"/>
      <c r="AA93" s="208"/>
      <c r="AB93" s="208"/>
      <c r="AC93" s="208"/>
      <c r="AD93" s="208"/>
      <c r="AE93" s="208"/>
      <c r="AF93" s="208"/>
      <c r="AG93" s="208"/>
      <c r="AH93" s="208"/>
      <c r="AI93" s="208"/>
      <c r="AJ93" s="208"/>
      <c r="AK93" s="208"/>
      <c r="AL93" s="208"/>
      <c r="AM93" s="208"/>
      <c r="AN93" s="208"/>
      <c r="AO93" s="208"/>
    </row>
    <row r="94" spans="3:41" s="207" customFormat="1" ht="19.5" customHeight="1"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  <c r="W94" s="208"/>
      <c r="X94" s="208"/>
      <c r="Y94" s="208"/>
      <c r="Z94" s="208"/>
      <c r="AA94" s="208"/>
      <c r="AB94" s="208"/>
      <c r="AC94" s="208"/>
      <c r="AD94" s="208"/>
      <c r="AE94" s="208"/>
      <c r="AF94" s="208"/>
      <c r="AG94" s="208"/>
      <c r="AH94" s="208"/>
      <c r="AI94" s="208"/>
      <c r="AJ94" s="208"/>
      <c r="AK94" s="208"/>
      <c r="AL94" s="208"/>
      <c r="AM94" s="208"/>
      <c r="AN94" s="208"/>
      <c r="AO94" s="208"/>
    </row>
    <row r="97" spans="1:52" ht="19.5" customHeight="1" thickBot="1">
      <c r="A97" s="46" t="s">
        <v>88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9.5" customHeight="1" thickTop="1">
      <c r="B98" s="47" t="s">
        <v>89</v>
      </c>
    </row>
    <row r="100" spans="1:52" ht="19.5" customHeight="1">
      <c r="B100" s="48" t="s">
        <v>92</v>
      </c>
      <c r="C100" s="48"/>
      <c r="D100" s="48"/>
      <c r="E100" s="48"/>
      <c r="F100" s="48"/>
      <c r="G100" s="48"/>
      <c r="H100" s="48"/>
      <c r="I100" s="56" t="s">
        <v>93</v>
      </c>
      <c r="J100" s="57"/>
      <c r="K100" s="57"/>
      <c r="L100" s="57"/>
      <c r="M100" s="57"/>
      <c r="N100" s="58"/>
      <c r="O100" s="55"/>
      <c r="P100" s="55"/>
      <c r="Q100" s="55"/>
      <c r="R100" s="55"/>
      <c r="S100" s="55"/>
      <c r="T100" s="55"/>
      <c r="U100" s="55"/>
      <c r="V100" s="55"/>
    </row>
    <row r="101" spans="1:52" ht="19.5" customHeight="1">
      <c r="B101" s="49" t="s">
        <v>91</v>
      </c>
      <c r="C101" s="50"/>
      <c r="D101" s="50"/>
      <c r="E101" s="50"/>
      <c r="F101" s="50"/>
      <c r="G101" s="50"/>
      <c r="H101" s="50"/>
      <c r="I101" s="49" t="s">
        <v>95</v>
      </c>
      <c r="J101" s="50"/>
      <c r="K101" s="50"/>
      <c r="L101" s="50"/>
      <c r="M101" s="50"/>
      <c r="N101" s="51"/>
      <c r="O101" s="50" t="s">
        <v>98</v>
      </c>
      <c r="P101" s="50"/>
      <c r="Q101" s="50"/>
      <c r="R101" s="50"/>
      <c r="S101" s="50"/>
      <c r="T101" s="50"/>
      <c r="U101" s="50"/>
      <c r="V101" s="50"/>
    </row>
    <row r="102" spans="1:52" ht="19.5" customHeight="1">
      <c r="B102" s="49" t="s">
        <v>90</v>
      </c>
      <c r="C102" s="50"/>
      <c r="D102" s="50"/>
      <c r="E102" s="50"/>
      <c r="F102" s="50"/>
      <c r="G102" s="50"/>
      <c r="H102" s="50"/>
      <c r="I102" s="49" t="s">
        <v>94</v>
      </c>
      <c r="J102" s="50"/>
      <c r="K102" s="50"/>
      <c r="L102" s="50"/>
      <c r="M102" s="50"/>
      <c r="N102" s="51"/>
      <c r="O102" s="50" t="s">
        <v>98</v>
      </c>
      <c r="P102" s="50"/>
      <c r="Q102" s="50"/>
      <c r="R102" s="50"/>
      <c r="S102" s="50"/>
      <c r="T102" s="50"/>
      <c r="U102" s="50"/>
      <c r="V102" s="50"/>
    </row>
    <row r="103" spans="1:52" ht="19.5" customHeight="1">
      <c r="B103" s="52"/>
      <c r="C103" s="53"/>
      <c r="D103" s="53"/>
      <c r="E103" s="53"/>
      <c r="F103" s="53"/>
      <c r="G103" s="53"/>
      <c r="H103" s="53"/>
      <c r="I103" s="52"/>
      <c r="J103" s="53"/>
      <c r="K103" s="53"/>
      <c r="L103" s="53"/>
      <c r="M103" s="53"/>
      <c r="N103" s="54"/>
      <c r="O103" s="53"/>
      <c r="P103" s="53"/>
      <c r="Q103" s="53"/>
      <c r="R103" s="53"/>
      <c r="S103" s="53"/>
      <c r="T103" s="53"/>
      <c r="U103" s="53"/>
      <c r="V103" s="53"/>
    </row>
    <row r="104" spans="1:52" ht="19.5" customHeight="1">
      <c r="B104" s="52"/>
      <c r="C104" s="53"/>
      <c r="D104" s="53"/>
      <c r="E104" s="53"/>
      <c r="F104" s="53"/>
      <c r="G104" s="53"/>
      <c r="H104" s="53"/>
      <c r="I104" s="52"/>
      <c r="J104" s="53"/>
      <c r="K104" s="53"/>
      <c r="L104" s="53"/>
      <c r="M104" s="53"/>
      <c r="N104" s="54"/>
      <c r="O104" s="53"/>
      <c r="P104" s="53"/>
      <c r="Q104" s="53"/>
      <c r="R104" s="53"/>
      <c r="S104" s="53"/>
      <c r="T104" s="53"/>
      <c r="U104" s="53"/>
      <c r="V104" s="53"/>
    </row>
    <row r="105" spans="1:52" ht="19.5" customHeight="1">
      <c r="B105" s="52"/>
      <c r="C105" s="53"/>
      <c r="D105" s="53"/>
      <c r="E105" s="53"/>
      <c r="F105" s="53"/>
      <c r="G105" s="53"/>
      <c r="H105" s="53"/>
      <c r="I105" s="52"/>
      <c r="J105" s="53"/>
      <c r="K105" s="53"/>
      <c r="L105" s="53"/>
      <c r="M105" s="53"/>
      <c r="N105" s="54"/>
      <c r="O105" s="53"/>
      <c r="P105" s="53"/>
      <c r="Q105" s="53"/>
      <c r="R105" s="53"/>
      <c r="S105" s="53"/>
      <c r="T105" s="53"/>
      <c r="U105" s="53"/>
      <c r="V105" s="53"/>
    </row>
    <row r="106" spans="1:52" ht="19.5" customHeight="1">
      <c r="B106" s="52"/>
      <c r="C106" s="53"/>
      <c r="D106" s="53"/>
      <c r="E106" s="53"/>
      <c r="F106" s="53"/>
      <c r="G106" s="53"/>
      <c r="H106" s="53"/>
      <c r="I106" s="52"/>
      <c r="J106" s="53"/>
      <c r="K106" s="53"/>
      <c r="L106" s="53"/>
      <c r="M106" s="53"/>
      <c r="N106" s="54"/>
      <c r="O106" s="53"/>
      <c r="P106" s="53"/>
      <c r="Q106" s="53"/>
      <c r="R106" s="53"/>
      <c r="S106" s="53"/>
      <c r="T106" s="53"/>
      <c r="U106" s="53"/>
      <c r="V106" s="53"/>
    </row>
  </sheetData>
  <mergeCells count="11">
    <mergeCell ref="B14:L14"/>
    <mergeCell ref="B15:L15"/>
    <mergeCell ref="B16:L16"/>
    <mergeCell ref="B17:L17"/>
    <mergeCell ref="B18:L18"/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76" display="#A76"/>
    <hyperlink ref="B5:L5" location="#A97" display="#A97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37"/>
    </sheetView>
  </sheetViews>
  <sheetFormatPr defaultRowHeight="16.5"/>
  <sheetData/>
  <sortState ref="A1:A37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7" sqref="B17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24</v>
      </c>
    </row>
    <row r="11" spans="1:2" ht="15" customHeight="1">
      <c r="A11" s="5">
        <v>400</v>
      </c>
      <c r="B11" s="35" t="s">
        <v>54</v>
      </c>
    </row>
    <row r="12" spans="1:2" ht="15" customHeight="1">
      <c r="A12" s="5">
        <v>401</v>
      </c>
      <c r="B12" s="35" t="s">
        <v>53</v>
      </c>
    </row>
    <row r="13" spans="1:2" ht="15" customHeight="1">
      <c r="A13" s="5">
        <v>402</v>
      </c>
      <c r="B13" s="5" t="s">
        <v>55</v>
      </c>
    </row>
    <row r="14" spans="1:2" ht="15" customHeight="1">
      <c r="A14" s="5">
        <v>403</v>
      </c>
      <c r="B14" s="5" t="s">
        <v>56</v>
      </c>
    </row>
    <row r="15" spans="1:2" ht="15" customHeight="1">
      <c r="A15" s="5">
        <v>404</v>
      </c>
      <c r="B15" s="5" t="s">
        <v>160</v>
      </c>
    </row>
    <row r="16" spans="1:2" ht="15" customHeight="1">
      <c r="A16" s="5">
        <v>405</v>
      </c>
      <c r="B16" s="5" t="s">
        <v>314</v>
      </c>
    </row>
    <row r="17" spans="1:2" ht="15" customHeight="1">
      <c r="B17" s="276"/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159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activeCell="A11" sqref="A1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1" customWidth="1"/>
    <col min="10" max="10" width="5.625" style="72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5" bestFit="1" customWidth="1"/>
    <col min="16" max="16" width="5.625" style="75" customWidth="1"/>
    <col min="17" max="17" width="10.625" style="79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90" t="s">
        <v>10</v>
      </c>
      <c r="B1" s="290"/>
      <c r="C1" s="13"/>
      <c r="D1" s="290" t="s">
        <v>9</v>
      </c>
      <c r="E1" s="290"/>
      <c r="F1" s="13"/>
      <c r="G1" s="290" t="s">
        <v>242</v>
      </c>
      <c r="H1" s="290"/>
      <c r="I1" s="290"/>
      <c r="K1" s="4"/>
      <c r="N1" s="13"/>
      <c r="O1" s="73"/>
      <c r="P1" s="74"/>
      <c r="Q1" s="147"/>
      <c r="R1" s="13"/>
      <c r="S1" s="76"/>
      <c r="T1" s="76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68"/>
      <c r="I2" s="68" t="s">
        <v>7</v>
      </c>
      <c r="K2" s="144" t="s">
        <v>1</v>
      </c>
      <c r="L2" s="17" t="s">
        <v>177</v>
      </c>
      <c r="M2" s="17" t="s">
        <v>6</v>
      </c>
      <c r="N2" s="14"/>
      <c r="O2" s="197" t="s">
        <v>241</v>
      </c>
      <c r="Q2" s="291" t="s">
        <v>243</v>
      </c>
      <c r="R2" s="292"/>
      <c r="S2" s="76"/>
      <c r="T2" s="199" t="s">
        <v>81</v>
      </c>
    </row>
    <row r="3" spans="1:20" s="77" customFormat="1" ht="20.100000000000001" customHeight="1">
      <c r="A3" s="1" t="s">
        <v>23</v>
      </c>
      <c r="B3" s="15" t="s">
        <v>286</v>
      </c>
      <c r="C3" s="14"/>
      <c r="D3" s="1"/>
      <c r="E3" s="16"/>
      <c r="F3" s="14"/>
      <c r="G3" s="40" t="s">
        <v>62</v>
      </c>
      <c r="H3" s="69" t="s">
        <v>70</v>
      </c>
      <c r="I3" s="70" t="s">
        <v>170</v>
      </c>
      <c r="J3" s="72"/>
      <c r="K3" s="250" t="s">
        <v>187</v>
      </c>
      <c r="L3" s="146"/>
      <c r="M3" s="16"/>
      <c r="N3" s="14"/>
      <c r="O3" s="198">
        <v>44050</v>
      </c>
      <c r="P3" s="75"/>
      <c r="Q3" s="198">
        <v>44035</v>
      </c>
      <c r="R3" s="198" t="s">
        <v>315</v>
      </c>
      <c r="S3" s="76"/>
      <c r="T3" s="198" t="s">
        <v>82</v>
      </c>
    </row>
    <row r="4" spans="1:20" s="78" customFormat="1" ht="20.100000000000001" customHeight="1">
      <c r="A4" s="1" t="s">
        <v>185</v>
      </c>
      <c r="B4" s="134">
        <v>60</v>
      </c>
      <c r="C4" s="14"/>
      <c r="D4" s="1"/>
      <c r="E4" s="16"/>
      <c r="F4" s="14"/>
      <c r="G4" s="40" t="s">
        <v>59</v>
      </c>
      <c r="H4" s="69" t="s">
        <v>71</v>
      </c>
      <c r="I4" s="70"/>
      <c r="J4" s="72"/>
      <c r="K4" s="251" t="s">
        <v>135</v>
      </c>
      <c r="L4" s="146">
        <v>75000</v>
      </c>
      <c r="M4" s="16"/>
      <c r="N4" s="14"/>
      <c r="O4" s="198">
        <v>44053</v>
      </c>
      <c r="P4" s="75"/>
      <c r="Q4" s="198">
        <v>44036</v>
      </c>
      <c r="R4" s="198" t="s">
        <v>316</v>
      </c>
      <c r="S4" s="76"/>
      <c r="T4" s="198" t="s">
        <v>201</v>
      </c>
    </row>
    <row r="5" spans="1:20" ht="20.100000000000001" customHeight="1">
      <c r="A5" s="133" t="s">
        <v>248</v>
      </c>
      <c r="B5" s="134" t="s">
        <v>233</v>
      </c>
      <c r="C5" s="14"/>
      <c r="D5" s="1"/>
      <c r="E5" s="16"/>
      <c r="F5" s="14"/>
      <c r="G5" s="40" t="s">
        <v>60</v>
      </c>
      <c r="H5" s="69" t="s">
        <v>72</v>
      </c>
      <c r="I5" s="70"/>
      <c r="K5" s="252" t="s">
        <v>136</v>
      </c>
      <c r="L5" s="146">
        <v>60000</v>
      </c>
      <c r="M5" s="16"/>
      <c r="N5" s="14"/>
      <c r="O5" s="198">
        <v>44054</v>
      </c>
      <c r="Q5" s="198">
        <v>44050</v>
      </c>
      <c r="R5" s="198" t="s">
        <v>317</v>
      </c>
      <c r="S5" s="76"/>
      <c r="T5" s="198" t="s">
        <v>83</v>
      </c>
    </row>
    <row r="6" spans="1:20" s="78" customFormat="1" ht="20.100000000000001" customHeight="1">
      <c r="A6" s="133" t="s">
        <v>244</v>
      </c>
      <c r="B6" s="134" t="s">
        <v>232</v>
      </c>
      <c r="C6" s="14"/>
      <c r="D6" s="1"/>
      <c r="E6" s="16"/>
      <c r="F6" s="14"/>
      <c r="G6" s="40" t="s">
        <v>61</v>
      </c>
      <c r="H6" s="69" t="s">
        <v>77</v>
      </c>
      <c r="I6" s="70"/>
      <c r="J6" s="72"/>
      <c r="K6" s="252" t="s">
        <v>137</v>
      </c>
      <c r="L6" s="146">
        <v>50000</v>
      </c>
      <c r="M6" s="16"/>
      <c r="N6" s="14"/>
      <c r="O6" s="198">
        <v>44195</v>
      </c>
      <c r="P6" s="75"/>
      <c r="Q6" s="198">
        <v>44053</v>
      </c>
      <c r="R6" s="198" t="s">
        <v>317</v>
      </c>
      <c r="S6" s="76"/>
      <c r="T6" s="198" t="s">
        <v>84</v>
      </c>
    </row>
    <row r="7" spans="1:20" s="78" customFormat="1" ht="20.100000000000001" customHeight="1">
      <c r="A7" s="133" t="s">
        <v>245</v>
      </c>
      <c r="B7" s="162" t="s">
        <v>246</v>
      </c>
      <c r="C7" s="14"/>
      <c r="D7" s="1"/>
      <c r="E7" s="16"/>
      <c r="F7" s="14"/>
      <c r="G7" s="40" t="s">
        <v>63</v>
      </c>
      <c r="H7" s="69" t="s">
        <v>74</v>
      </c>
      <c r="I7" s="70" t="s">
        <v>64</v>
      </c>
      <c r="J7" s="72"/>
      <c r="K7" s="252" t="s">
        <v>138</v>
      </c>
      <c r="L7" s="146">
        <v>50000</v>
      </c>
      <c r="M7" s="16"/>
      <c r="N7" s="14"/>
      <c r="O7" s="198">
        <v>44196</v>
      </c>
      <c r="P7" s="75"/>
      <c r="Q7" s="198">
        <v>44054</v>
      </c>
      <c r="R7" s="198" t="s">
        <v>317</v>
      </c>
      <c r="S7" s="76"/>
      <c r="T7" s="198" t="s">
        <v>57</v>
      </c>
    </row>
    <row r="8" spans="1:20" s="78" customFormat="1" ht="20.100000000000001" customHeight="1">
      <c r="A8" s="133" t="s">
        <v>220</v>
      </c>
      <c r="B8" s="134" t="s">
        <v>221</v>
      </c>
      <c r="C8" s="14"/>
      <c r="D8" s="1"/>
      <c r="E8" s="16"/>
      <c r="F8" s="14"/>
      <c r="G8" s="40" t="s">
        <v>58</v>
      </c>
      <c r="H8" s="69" t="s">
        <v>75</v>
      </c>
      <c r="I8" s="70" t="s">
        <v>8</v>
      </c>
      <c r="J8" s="72"/>
      <c r="K8" s="253" t="s">
        <v>139</v>
      </c>
      <c r="L8" s="146">
        <v>30</v>
      </c>
      <c r="M8" s="16"/>
      <c r="N8" s="14"/>
      <c r="O8" s="198">
        <v>44198</v>
      </c>
      <c r="P8" s="75"/>
      <c r="Q8" s="198">
        <v>44095</v>
      </c>
      <c r="R8" s="198" t="s">
        <v>311</v>
      </c>
      <c r="S8" s="76"/>
      <c r="T8" s="198" t="s">
        <v>85</v>
      </c>
    </row>
    <row r="9" spans="1:20" s="78" customFormat="1" ht="20.100000000000001" customHeight="1">
      <c r="A9" s="133" t="s">
        <v>219</v>
      </c>
      <c r="B9" s="134" t="s">
        <v>64</v>
      </c>
      <c r="C9" s="14"/>
      <c r="D9" s="1"/>
      <c r="E9" s="16"/>
      <c r="F9" s="14"/>
      <c r="G9" s="40" t="s">
        <v>66</v>
      </c>
      <c r="H9" s="69" t="s">
        <v>76</v>
      </c>
      <c r="I9" s="70" t="s">
        <v>65</v>
      </c>
      <c r="J9" s="72"/>
      <c r="K9" s="254" t="s">
        <v>140</v>
      </c>
      <c r="L9" s="146"/>
      <c r="M9" s="16"/>
      <c r="N9" s="14"/>
      <c r="O9" s="148">
        <v>44199</v>
      </c>
      <c r="P9" s="75"/>
      <c r="Q9" s="148">
        <v>44096</v>
      </c>
      <c r="R9" s="148" t="s">
        <v>312</v>
      </c>
      <c r="S9" s="76"/>
      <c r="T9" s="148"/>
    </row>
    <row r="10" spans="1:20" s="78" customFormat="1" ht="20.100000000000001" customHeight="1">
      <c r="A10" s="133" t="s">
        <v>218</v>
      </c>
      <c r="B10" s="134" t="s">
        <v>65</v>
      </c>
      <c r="C10" s="14"/>
      <c r="D10" s="1"/>
      <c r="E10" s="16"/>
      <c r="F10" s="14"/>
      <c r="G10" s="40" t="s">
        <v>67</v>
      </c>
      <c r="H10" s="69" t="s">
        <v>73</v>
      </c>
      <c r="I10" s="70"/>
      <c r="J10" s="72"/>
      <c r="K10" s="254" t="s">
        <v>141</v>
      </c>
      <c r="L10" s="146"/>
      <c r="M10" s="16"/>
      <c r="N10" s="14"/>
      <c r="O10" s="148"/>
      <c r="P10" s="75"/>
      <c r="Q10" s="148">
        <v>44116</v>
      </c>
      <c r="R10" s="148" t="s">
        <v>313</v>
      </c>
      <c r="S10" s="76"/>
      <c r="T10" s="148"/>
    </row>
    <row r="11" spans="1:20" s="78" customFormat="1" ht="20.100000000000001" customHeight="1">
      <c r="A11" s="133" t="s">
        <v>109</v>
      </c>
      <c r="B11" s="134" t="s">
        <v>216</v>
      </c>
      <c r="C11" s="14"/>
      <c r="D11" s="1"/>
      <c r="E11" s="16"/>
      <c r="F11" s="14"/>
      <c r="G11" s="40" t="s">
        <v>68</v>
      </c>
      <c r="H11" s="69" t="s">
        <v>78</v>
      </c>
      <c r="I11" s="70"/>
      <c r="J11" s="72"/>
      <c r="K11" s="254" t="s">
        <v>142</v>
      </c>
      <c r="L11" s="146"/>
      <c r="M11" s="16"/>
      <c r="N11" s="14"/>
      <c r="O11" s="148"/>
      <c r="P11" s="75"/>
      <c r="Q11" s="148"/>
      <c r="R11" s="148"/>
      <c r="S11" s="76"/>
      <c r="T11" s="148"/>
    </row>
    <row r="12" spans="1:20" s="78" customFormat="1" ht="20.100000000000001" customHeight="1">
      <c r="A12" s="133" t="s">
        <v>173</v>
      </c>
      <c r="B12" s="134" t="s">
        <v>318</v>
      </c>
      <c r="C12" s="14"/>
      <c r="D12" s="1"/>
      <c r="E12" s="16"/>
      <c r="F12" s="14"/>
      <c r="G12" s="40" t="s">
        <v>69</v>
      </c>
      <c r="H12" s="69" t="s">
        <v>79</v>
      </c>
      <c r="I12" s="70"/>
      <c r="J12" s="72"/>
      <c r="K12" s="255" t="s">
        <v>143</v>
      </c>
      <c r="L12" s="146"/>
      <c r="M12" s="16"/>
      <c r="N12" s="14"/>
      <c r="O12" s="148"/>
      <c r="P12" s="75"/>
      <c r="Q12" s="148"/>
      <c r="R12" s="148"/>
      <c r="S12" s="76"/>
      <c r="T12" s="148"/>
    </row>
    <row r="13" spans="1:20" s="78" customFormat="1" ht="20.100000000000001" customHeight="1">
      <c r="A13" s="142" t="s">
        <v>229</v>
      </c>
      <c r="B13" s="143" t="s">
        <v>228</v>
      </c>
      <c r="C13" s="14"/>
      <c r="D13" s="1"/>
      <c r="E13" s="16"/>
      <c r="F13" s="14"/>
      <c r="G13" s="40"/>
      <c r="H13" s="69"/>
      <c r="I13" s="70"/>
      <c r="J13" s="72"/>
      <c r="K13" s="256" t="s">
        <v>144</v>
      </c>
      <c r="L13" s="146"/>
      <c r="M13" s="16"/>
      <c r="N13" s="14"/>
      <c r="O13" s="148"/>
      <c r="P13" s="75"/>
      <c r="Q13" s="148"/>
      <c r="R13" s="148"/>
      <c r="S13" s="76"/>
      <c r="T13" s="148"/>
    </row>
    <row r="14" spans="1:20" s="78" customFormat="1" ht="20.100000000000001" customHeight="1">
      <c r="A14" s="142" t="s">
        <v>231</v>
      </c>
      <c r="B14" s="143" t="s">
        <v>230</v>
      </c>
      <c r="C14" s="14"/>
      <c r="D14" s="1"/>
      <c r="E14" s="16"/>
      <c r="F14" s="14"/>
      <c r="G14" s="40"/>
      <c r="H14" s="69"/>
      <c r="I14" s="70"/>
      <c r="J14" s="72"/>
      <c r="K14" s="256" t="s">
        <v>145</v>
      </c>
      <c r="L14" s="146"/>
      <c r="M14" s="16"/>
      <c r="N14" s="14"/>
      <c r="O14" s="148"/>
      <c r="P14" s="75"/>
      <c r="Q14" s="148"/>
      <c r="R14" s="148"/>
      <c r="S14" s="76"/>
      <c r="T14" s="148"/>
    </row>
    <row r="15" spans="1:20" s="78" customFormat="1" ht="20.100000000000001" customHeight="1">
      <c r="A15" s="142" t="s">
        <v>183</v>
      </c>
      <c r="B15" s="143" t="s">
        <v>169</v>
      </c>
      <c r="C15" s="14"/>
      <c r="D15" s="1"/>
      <c r="E15" s="16"/>
      <c r="F15" s="14"/>
      <c r="G15" s="40"/>
      <c r="H15" s="69"/>
      <c r="I15" s="70"/>
      <c r="J15" s="72"/>
      <c r="K15" s="256" t="s">
        <v>146</v>
      </c>
      <c r="L15" s="146"/>
      <c r="M15" s="16"/>
      <c r="N15" s="14"/>
      <c r="O15" s="148"/>
      <c r="P15" s="75"/>
      <c r="Q15" s="148"/>
      <c r="R15" s="148"/>
      <c r="S15" s="76"/>
      <c r="T15" s="148"/>
    </row>
    <row r="16" spans="1:20" s="78" customFormat="1" ht="20.100000000000001" customHeight="1">
      <c r="A16" s="142" t="s">
        <v>200</v>
      </c>
      <c r="B16" s="143" t="s">
        <v>199</v>
      </c>
      <c r="C16" s="14"/>
      <c r="D16" s="1"/>
      <c r="E16" s="16"/>
      <c r="F16" s="14"/>
      <c r="G16" s="40"/>
      <c r="H16" s="69"/>
      <c r="I16" s="70"/>
      <c r="J16" s="72"/>
      <c r="K16" s="257" t="s">
        <v>147</v>
      </c>
      <c r="L16" s="146"/>
      <c r="M16" s="16"/>
      <c r="N16" s="14"/>
      <c r="O16" s="148"/>
      <c r="P16" s="75"/>
      <c r="Q16" s="148"/>
      <c r="R16" s="148"/>
      <c r="S16" s="76"/>
      <c r="T16" s="148"/>
    </row>
    <row r="17" spans="1:20" s="78" customFormat="1" ht="20.100000000000001" customHeight="1">
      <c r="A17" s="142" t="s">
        <v>178</v>
      </c>
      <c r="B17" s="143" t="s">
        <v>170</v>
      </c>
      <c r="C17" s="14"/>
      <c r="D17" s="1"/>
      <c r="E17" s="16"/>
      <c r="F17" s="14"/>
      <c r="G17" s="40"/>
      <c r="H17" s="69"/>
      <c r="I17" s="70"/>
      <c r="J17" s="72"/>
      <c r="K17" s="258" t="s">
        <v>148</v>
      </c>
      <c r="L17" s="146"/>
      <c r="M17" s="16"/>
      <c r="N17" s="14"/>
      <c r="O17" s="148"/>
      <c r="P17" s="75"/>
      <c r="Q17" s="148"/>
      <c r="R17" s="148"/>
      <c r="S17" s="76"/>
      <c r="T17" s="148"/>
    </row>
    <row r="18" spans="1:20" s="78" customFormat="1" ht="20.100000000000001" customHeight="1">
      <c r="A18" s="142" t="s">
        <v>179</v>
      </c>
      <c r="B18" s="143" t="s">
        <v>171</v>
      </c>
      <c r="C18" s="14"/>
      <c r="D18" s="1"/>
      <c r="E18" s="16"/>
      <c r="F18" s="14"/>
      <c r="G18" s="40"/>
      <c r="H18" s="69"/>
      <c r="I18" s="70"/>
      <c r="J18" s="72"/>
      <c r="K18" s="258" t="s">
        <v>149</v>
      </c>
      <c r="L18" s="146"/>
      <c r="M18" s="16"/>
      <c r="N18" s="14"/>
      <c r="O18" s="148"/>
      <c r="P18" s="75"/>
      <c r="Q18" s="148"/>
      <c r="R18" s="148"/>
      <c r="S18" s="76"/>
      <c r="T18" s="148"/>
    </row>
    <row r="19" spans="1:20" s="78" customFormat="1" ht="20.100000000000001" customHeight="1">
      <c r="A19" s="142" t="s">
        <v>180</v>
      </c>
      <c r="B19" s="143" t="s">
        <v>172</v>
      </c>
      <c r="C19" s="14"/>
      <c r="D19" s="1"/>
      <c r="E19" s="16"/>
      <c r="F19" s="14"/>
      <c r="G19" s="40"/>
      <c r="H19" s="69"/>
      <c r="I19" s="70"/>
      <c r="J19" s="72"/>
      <c r="K19" s="258" t="s">
        <v>150</v>
      </c>
      <c r="L19" s="146"/>
      <c r="M19" s="16"/>
      <c r="N19" s="14"/>
      <c r="O19" s="148"/>
      <c r="P19" s="75"/>
      <c r="Q19" s="148"/>
      <c r="R19" s="148"/>
      <c r="S19" s="76"/>
      <c r="T19" s="148"/>
    </row>
    <row r="20" spans="1:20" s="78" customFormat="1" ht="20.100000000000001" customHeight="1">
      <c r="A20" s="142" t="s">
        <v>181</v>
      </c>
      <c r="B20" s="143" t="s">
        <v>182</v>
      </c>
      <c r="C20" s="14"/>
      <c r="D20" s="1"/>
      <c r="E20" s="16"/>
      <c r="F20" s="14"/>
      <c r="G20" s="40"/>
      <c r="H20" s="69"/>
      <c r="I20" s="70"/>
      <c r="J20" s="72"/>
      <c r="K20" s="258" t="s">
        <v>151</v>
      </c>
      <c r="L20" s="146"/>
      <c r="M20" s="16"/>
      <c r="N20" s="14"/>
      <c r="O20" s="148"/>
      <c r="P20" s="75"/>
      <c r="Q20" s="148"/>
      <c r="R20" s="148"/>
      <c r="S20" s="76"/>
      <c r="T20" s="148"/>
    </row>
    <row r="21" spans="1:20" s="78" customFormat="1" ht="20.100000000000001" customHeight="1">
      <c r="A21" s="1" t="s">
        <v>38</v>
      </c>
      <c r="B21" s="30" t="b">
        <v>0</v>
      </c>
      <c r="C21" s="14"/>
      <c r="D21" s="1"/>
      <c r="E21" s="16"/>
      <c r="F21" s="14"/>
      <c r="G21" s="40"/>
      <c r="H21" s="69"/>
      <c r="I21" s="70"/>
      <c r="J21" s="72"/>
      <c r="K21" s="258" t="s">
        <v>152</v>
      </c>
      <c r="L21" s="146"/>
      <c r="M21" s="16"/>
      <c r="N21" s="14"/>
      <c r="O21" s="148"/>
      <c r="P21" s="75"/>
      <c r="Q21" s="148"/>
      <c r="R21" s="148"/>
      <c r="S21" s="76"/>
      <c r="T21" s="148"/>
    </row>
    <row r="22" spans="1:20" s="78" customFormat="1" ht="20.100000000000001" customHeight="1">
      <c r="A22" s="1" t="s">
        <v>44</v>
      </c>
      <c r="B22" s="12" t="b">
        <v>0</v>
      </c>
      <c r="C22" s="14"/>
      <c r="D22" s="1"/>
      <c r="E22" s="16"/>
      <c r="F22" s="14"/>
      <c r="G22" s="40"/>
      <c r="H22" s="69"/>
      <c r="I22" s="70"/>
      <c r="J22" s="72"/>
      <c r="K22" s="258" t="s">
        <v>153</v>
      </c>
      <c r="L22" s="146"/>
      <c r="M22" s="16"/>
      <c r="N22" s="14"/>
      <c r="O22" s="148"/>
      <c r="P22" s="75"/>
      <c r="Q22" s="148"/>
      <c r="R22" s="148"/>
      <c r="S22" s="76"/>
      <c r="T22" s="148"/>
    </row>
    <row r="23" spans="1:20" s="78" customFormat="1" ht="20.100000000000001" customHeight="1">
      <c r="A23" s="1" t="s">
        <v>80</v>
      </c>
      <c r="B23" s="45">
        <v>43996</v>
      </c>
      <c r="C23" s="14"/>
      <c r="D23" s="1"/>
      <c r="E23" s="16"/>
      <c r="F23" s="14"/>
      <c r="G23" s="40"/>
      <c r="H23" s="69"/>
      <c r="I23" s="70"/>
      <c r="J23" s="72"/>
      <c r="K23" s="258" t="s">
        <v>154</v>
      </c>
      <c r="L23" s="146"/>
      <c r="M23" s="16"/>
      <c r="N23" s="14"/>
      <c r="O23" s="148"/>
      <c r="P23" s="75"/>
      <c r="Q23" s="148"/>
      <c r="R23" s="148"/>
      <c r="S23" s="76"/>
      <c r="T23" s="148"/>
    </row>
    <row r="24" spans="1:20" s="78" customFormat="1" ht="20.100000000000001" customHeight="1">
      <c r="A24" s="1" t="s">
        <v>102</v>
      </c>
      <c r="B24" s="45">
        <v>44128</v>
      </c>
      <c r="C24" s="14"/>
      <c r="D24" s="1"/>
      <c r="E24" s="16"/>
      <c r="F24" s="14"/>
      <c r="G24" s="40"/>
      <c r="H24" s="69"/>
      <c r="I24" s="70"/>
      <c r="J24" s="72"/>
      <c r="K24" s="259" t="s">
        <v>155</v>
      </c>
      <c r="L24" s="146"/>
      <c r="M24" s="16"/>
      <c r="N24" s="14"/>
      <c r="O24" s="148"/>
      <c r="P24" s="75"/>
      <c r="Q24" s="148"/>
      <c r="R24" s="148"/>
      <c r="S24" s="76"/>
      <c r="T24" s="148"/>
    </row>
    <row r="25" spans="1:20" s="78" customFormat="1" ht="20.100000000000001" customHeight="1">
      <c r="A25" s="1" t="s">
        <v>103</v>
      </c>
      <c r="B25" s="45">
        <v>44098</v>
      </c>
      <c r="C25" s="14"/>
      <c r="D25" s="1"/>
      <c r="E25" s="16"/>
      <c r="F25" s="14"/>
      <c r="G25" s="40"/>
      <c r="H25" s="69"/>
      <c r="I25" s="70"/>
      <c r="J25" s="72"/>
      <c r="K25" s="260" t="s">
        <v>156</v>
      </c>
      <c r="L25" s="146"/>
      <c r="M25" s="16"/>
      <c r="N25" s="14"/>
      <c r="O25" s="148"/>
      <c r="P25" s="75"/>
      <c r="Q25" s="148"/>
      <c r="R25" s="148"/>
      <c r="S25" s="76"/>
      <c r="T25" s="148"/>
    </row>
    <row r="26" spans="1:20" s="78" customFormat="1" ht="20.100000000000001" customHeight="1">
      <c r="A26" s="1" t="s">
        <v>39</v>
      </c>
      <c r="B26" s="12" t="b">
        <v>0</v>
      </c>
      <c r="C26" s="14"/>
      <c r="D26" s="1"/>
      <c r="E26" s="16"/>
      <c r="F26" s="14"/>
      <c r="G26" s="40"/>
      <c r="H26" s="69"/>
      <c r="I26" s="70"/>
      <c r="J26" s="72"/>
      <c r="K26" s="260" t="s">
        <v>157</v>
      </c>
      <c r="L26" s="146"/>
      <c r="M26" s="16"/>
      <c r="N26" s="14"/>
      <c r="O26" s="148"/>
      <c r="P26" s="75"/>
      <c r="Q26" s="148"/>
      <c r="R26" s="148"/>
      <c r="S26" s="76"/>
      <c r="T26" s="148"/>
    </row>
    <row r="27" spans="1:20" s="78" customFormat="1" ht="20.100000000000001" customHeight="1">
      <c r="A27" s="1" t="s">
        <v>45</v>
      </c>
      <c r="B27" s="12">
        <v>10222585</v>
      </c>
      <c r="C27" s="14"/>
      <c r="D27" s="1"/>
      <c r="E27" s="16"/>
      <c r="F27" s="14"/>
      <c r="G27" s="40"/>
      <c r="H27" s="69"/>
      <c r="I27" s="70"/>
      <c r="J27" s="72"/>
      <c r="K27" s="260" t="s">
        <v>158</v>
      </c>
      <c r="L27" s="146"/>
      <c r="M27" s="16"/>
      <c r="N27" s="14"/>
      <c r="O27" s="148"/>
      <c r="P27" s="75"/>
      <c r="Q27" s="148"/>
      <c r="R27" s="148"/>
      <c r="S27" s="76"/>
      <c r="T27" s="148"/>
    </row>
    <row r="28" spans="1:20" s="78" customFormat="1" ht="20.100000000000001" customHeight="1">
      <c r="A28" s="1" t="s">
        <v>46</v>
      </c>
      <c r="B28" s="12">
        <v>16774635</v>
      </c>
      <c r="C28" s="14"/>
      <c r="D28" s="1"/>
      <c r="E28" s="16"/>
      <c r="F28" s="14"/>
      <c r="G28" s="40"/>
      <c r="H28" s="69"/>
      <c r="I28" s="70"/>
      <c r="J28" s="72"/>
      <c r="K28" s="261" t="s">
        <v>35</v>
      </c>
      <c r="L28" s="146"/>
      <c r="M28" s="16"/>
      <c r="N28" s="14"/>
      <c r="O28" s="148"/>
      <c r="P28" s="75"/>
      <c r="Q28" s="148"/>
      <c r="R28" s="148"/>
      <c r="S28" s="76"/>
      <c r="T28" s="148"/>
    </row>
    <row r="29" spans="1:20" s="78" customFormat="1" ht="20.100000000000001" customHeight="1">
      <c r="A29" s="1" t="s">
        <v>47</v>
      </c>
      <c r="B29" s="12">
        <v>16314622</v>
      </c>
      <c r="C29" s="14"/>
      <c r="D29" s="1"/>
      <c r="E29" s="16"/>
      <c r="F29" s="14"/>
      <c r="G29" s="40"/>
      <c r="H29" s="69"/>
      <c r="I29" s="70"/>
      <c r="J29" s="72"/>
      <c r="K29" s="262" t="s">
        <v>117</v>
      </c>
      <c r="L29" s="146"/>
      <c r="M29" s="16"/>
      <c r="N29" s="14"/>
      <c r="O29" s="148"/>
      <c r="P29" s="75"/>
      <c r="Q29" s="148"/>
      <c r="R29" s="148"/>
      <c r="S29" s="76"/>
      <c r="T29" s="148"/>
    </row>
    <row r="30" spans="1:20" s="78" customFormat="1" ht="20.100000000000001" customHeight="1">
      <c r="A30" s="1" t="s">
        <v>48</v>
      </c>
      <c r="B30" s="12">
        <v>14540253</v>
      </c>
      <c r="C30" s="14"/>
      <c r="D30" s="1"/>
      <c r="E30" s="16"/>
      <c r="F30" s="14"/>
      <c r="G30" s="40"/>
      <c r="H30" s="69"/>
      <c r="I30" s="70"/>
      <c r="J30" s="72"/>
      <c r="K30" s="263" t="s">
        <v>127</v>
      </c>
      <c r="L30" s="146"/>
      <c r="M30" s="16"/>
      <c r="N30" s="14"/>
      <c r="O30" s="148"/>
      <c r="P30" s="75"/>
      <c r="Q30" s="148"/>
      <c r="R30" s="148"/>
      <c r="S30" s="76"/>
      <c r="T30" s="148"/>
    </row>
    <row r="31" spans="1:20" s="78" customFormat="1" ht="20.100000000000001" customHeight="1">
      <c r="A31" s="1" t="s">
        <v>40</v>
      </c>
      <c r="B31" s="12">
        <v>6680933</v>
      </c>
      <c r="C31" s="14"/>
      <c r="D31" s="1"/>
      <c r="E31" s="16"/>
      <c r="F31" s="14"/>
      <c r="G31" s="40"/>
      <c r="H31" s="69"/>
      <c r="I31" s="70"/>
      <c r="J31" s="72"/>
      <c r="K31" s="264" t="s">
        <v>128</v>
      </c>
      <c r="L31" s="146"/>
      <c r="M31" s="16"/>
      <c r="N31" s="14"/>
      <c r="O31" s="148"/>
      <c r="P31" s="75"/>
      <c r="Q31" s="148"/>
      <c r="R31" s="148"/>
      <c r="S31" s="76"/>
      <c r="T31" s="148"/>
    </row>
    <row r="32" spans="1:20" s="78" customFormat="1" ht="20.100000000000001" customHeight="1">
      <c r="A32" s="1" t="s">
        <v>41</v>
      </c>
      <c r="B32" s="12">
        <v>10053375</v>
      </c>
      <c r="C32" s="14"/>
      <c r="D32" s="1"/>
      <c r="E32" s="16"/>
      <c r="F32" s="14"/>
      <c r="G32" s="40"/>
      <c r="H32" s="69"/>
      <c r="I32" s="70"/>
      <c r="J32" s="72"/>
      <c r="K32" s="264" t="s">
        <v>129</v>
      </c>
      <c r="L32" s="146"/>
      <c r="M32" s="16"/>
      <c r="N32" s="14"/>
      <c r="O32" s="148"/>
      <c r="P32" s="75"/>
      <c r="Q32" s="148"/>
      <c r="R32" s="148"/>
      <c r="S32" s="76"/>
      <c r="T32" s="148"/>
    </row>
    <row r="33" spans="1:20" s="78" customFormat="1" ht="20.100000000000001" customHeight="1">
      <c r="A33" s="133" t="s">
        <v>42</v>
      </c>
      <c r="B33" s="134">
        <v>255</v>
      </c>
      <c r="C33" s="14"/>
      <c r="D33" s="1"/>
      <c r="E33" s="16"/>
      <c r="F33" s="14"/>
      <c r="G33" s="40"/>
      <c r="H33" s="69"/>
      <c r="I33" s="70"/>
      <c r="J33" s="72"/>
      <c r="K33" s="264" t="s">
        <v>186</v>
      </c>
      <c r="L33" s="146"/>
      <c r="M33" s="16"/>
      <c r="N33" s="14"/>
      <c r="O33" s="148"/>
      <c r="P33" s="75"/>
      <c r="Q33" s="148"/>
      <c r="R33" s="148"/>
      <c r="S33" s="76"/>
      <c r="T33" s="148"/>
    </row>
    <row r="34" spans="1:20" s="78" customFormat="1" ht="20.100000000000001" customHeight="1">
      <c r="A34" s="133" t="s">
        <v>43</v>
      </c>
      <c r="B34" s="134">
        <v>16777164</v>
      </c>
      <c r="C34" s="14"/>
      <c r="D34" s="1"/>
      <c r="E34" s="16"/>
      <c r="F34" s="14"/>
      <c r="G34" s="40"/>
      <c r="H34" s="69"/>
      <c r="I34" s="70"/>
      <c r="J34" s="72"/>
      <c r="K34" s="264" t="s">
        <v>130</v>
      </c>
      <c r="L34" s="146"/>
      <c r="M34" s="16"/>
      <c r="N34" s="14"/>
      <c r="O34" s="148"/>
      <c r="P34" s="75"/>
      <c r="Q34" s="148"/>
      <c r="R34" s="148"/>
      <c r="S34" s="76"/>
      <c r="T34" s="148"/>
    </row>
    <row r="35" spans="1:20" s="78" customFormat="1" ht="20.100000000000001" customHeight="1">
      <c r="A35" s="133" t="s">
        <v>49</v>
      </c>
      <c r="B35" s="134">
        <v>16777215</v>
      </c>
      <c r="C35" s="14"/>
      <c r="D35" s="1"/>
      <c r="E35" s="16"/>
      <c r="F35" s="14"/>
      <c r="G35" s="40"/>
      <c r="H35" s="69"/>
      <c r="I35" s="70"/>
      <c r="J35" s="72"/>
      <c r="K35" s="264" t="s">
        <v>131</v>
      </c>
      <c r="L35" s="146"/>
      <c r="M35" s="16"/>
      <c r="N35" s="14"/>
      <c r="O35" s="148"/>
      <c r="P35" s="75"/>
      <c r="Q35" s="148"/>
      <c r="R35" s="148"/>
      <c r="S35" s="76"/>
      <c r="T35" s="148"/>
    </row>
    <row r="36" spans="1:20" s="78" customFormat="1" ht="20.100000000000001" customHeight="1">
      <c r="A36" s="133" t="s">
        <v>50</v>
      </c>
      <c r="B36" s="134">
        <v>16777215</v>
      </c>
      <c r="C36" s="14"/>
      <c r="D36" s="1"/>
      <c r="E36" s="16"/>
      <c r="F36" s="14"/>
      <c r="G36" s="40"/>
      <c r="H36" s="69"/>
      <c r="I36" s="70"/>
      <c r="J36" s="72"/>
      <c r="K36" s="264" t="s">
        <v>132</v>
      </c>
      <c r="L36" s="146"/>
      <c r="M36" s="16"/>
      <c r="N36" s="14"/>
      <c r="O36" s="148"/>
      <c r="P36" s="75"/>
      <c r="Q36" s="148"/>
      <c r="R36" s="148"/>
      <c r="S36" s="76"/>
      <c r="T36" s="148"/>
    </row>
    <row r="37" spans="1:20" ht="20.100000000000001" customHeight="1">
      <c r="A37" s="1" t="s">
        <v>118</v>
      </c>
      <c r="B37" s="12" t="b">
        <v>0</v>
      </c>
      <c r="D37" s="1"/>
      <c r="E37" s="16"/>
      <c r="F37" s="14"/>
      <c r="G37" s="40"/>
      <c r="H37" s="69"/>
      <c r="I37" s="70"/>
      <c r="K37" s="264" t="s">
        <v>133</v>
      </c>
      <c r="L37" s="146"/>
      <c r="M37" s="16"/>
      <c r="O37" s="148"/>
      <c r="Q37" s="148"/>
      <c r="R37" s="148"/>
      <c r="T37" s="148"/>
    </row>
    <row r="38" spans="1:20" ht="20.100000000000001" customHeight="1">
      <c r="A38" s="1" t="s">
        <v>119</v>
      </c>
      <c r="B38" s="12" t="b">
        <v>0</v>
      </c>
      <c r="D38" s="1"/>
      <c r="E38" s="16"/>
      <c r="F38" s="14"/>
      <c r="G38" s="40"/>
      <c r="H38" s="69"/>
      <c r="I38" s="70"/>
      <c r="K38" s="265" t="s">
        <v>134</v>
      </c>
      <c r="L38" s="146"/>
      <c r="M38" s="16"/>
    </row>
    <row r="39" spans="1:20" ht="20.100000000000001" customHeight="1">
      <c r="A39" s="1" t="s">
        <v>120</v>
      </c>
      <c r="B39" s="12" t="b">
        <v>0</v>
      </c>
      <c r="K39" s="4"/>
    </row>
    <row r="40" spans="1:20" ht="20.100000000000001" customHeight="1">
      <c r="A40" s="1" t="s">
        <v>126</v>
      </c>
      <c r="B40" s="12" t="b">
        <v>0</v>
      </c>
      <c r="K40" s="4"/>
    </row>
    <row r="41" spans="1:20" ht="20.100000000000001" customHeight="1">
      <c r="A41" s="1" t="s">
        <v>121</v>
      </c>
      <c r="B41" s="12" t="b">
        <v>0</v>
      </c>
      <c r="K41" s="4"/>
    </row>
    <row r="42" spans="1:20" ht="20.100000000000001" customHeight="1">
      <c r="A42" s="1" t="s">
        <v>122</v>
      </c>
      <c r="B42" s="12" t="b">
        <v>0</v>
      </c>
      <c r="K42" s="4"/>
    </row>
    <row r="43" spans="1:20" ht="20.100000000000001" customHeight="1">
      <c r="A43" s="133" t="s">
        <v>189</v>
      </c>
      <c r="B43" s="12" t="b">
        <v>0</v>
      </c>
      <c r="K43" s="4"/>
    </row>
    <row r="44" spans="1:20" ht="20.100000000000001" customHeight="1">
      <c r="A44" s="1" t="s">
        <v>123</v>
      </c>
      <c r="B44" s="12" t="b">
        <v>0</v>
      </c>
      <c r="K44" s="4"/>
    </row>
    <row r="45" spans="1:20" ht="20.100000000000001" customHeight="1">
      <c r="A45" s="1" t="s">
        <v>124</v>
      </c>
      <c r="B45" s="12" t="b">
        <v>0</v>
      </c>
      <c r="K45" s="4"/>
    </row>
    <row r="46" spans="1:20" ht="20.100000000000001" customHeight="1">
      <c r="A46" s="1" t="s">
        <v>125</v>
      </c>
      <c r="B46" s="12" t="b">
        <v>0</v>
      </c>
      <c r="K46" s="4"/>
    </row>
    <row r="47" spans="1:20" ht="20.100000000000001" customHeight="1">
      <c r="A47" s="133" t="s">
        <v>224</v>
      </c>
      <c r="B47" s="134" t="b">
        <v>0</v>
      </c>
      <c r="K47" s="4"/>
    </row>
    <row r="48" spans="1:20" ht="20.100000000000001" customHeight="1">
      <c r="A48" s="1" t="s">
        <v>184</v>
      </c>
      <c r="B48" s="12" t="b">
        <v>0</v>
      </c>
      <c r="K48" s="4"/>
    </row>
    <row r="49" spans="1:11" ht="20.100000000000001" customHeight="1">
      <c r="A49" s="1" t="s">
        <v>175</v>
      </c>
      <c r="B49" s="12" t="b">
        <v>0</v>
      </c>
      <c r="K49" s="4"/>
    </row>
    <row r="50" spans="1:11" ht="20.100000000000001" customHeight="1">
      <c r="A50" s="161"/>
      <c r="B50" s="162"/>
      <c r="K50" s="4"/>
    </row>
    <row r="51" spans="1:11" ht="20.100000000000001" customHeight="1">
      <c r="A51" s="161"/>
      <c r="B51" s="162"/>
      <c r="K51" s="4"/>
    </row>
    <row r="52" spans="1:11" ht="20.100000000000001" customHeight="1">
      <c r="A52" s="161"/>
      <c r="B52" s="162"/>
      <c r="K52" s="4"/>
    </row>
    <row r="53" spans="1:11" ht="20.100000000000001" customHeight="1">
      <c r="A53" s="161"/>
      <c r="B53" s="162"/>
      <c r="K53" s="4"/>
    </row>
    <row r="54" spans="1:11" ht="20.100000000000001" customHeight="1">
      <c r="A54" s="161"/>
      <c r="B54" s="162"/>
      <c r="K54" s="4"/>
    </row>
    <row r="55" spans="1:11" ht="20.100000000000001" customHeight="1">
      <c r="A55" s="161"/>
      <c r="B55" s="162"/>
      <c r="K55" s="4"/>
    </row>
    <row r="56" spans="1:11" ht="20.100000000000001" customHeight="1">
      <c r="A56" s="161"/>
      <c r="B56" s="162"/>
      <c r="K56" s="4"/>
    </row>
    <row r="57" spans="1:11" ht="20.100000000000001" customHeight="1">
      <c r="A57" s="161"/>
      <c r="B57" s="162"/>
      <c r="K57" s="4"/>
    </row>
    <row r="58" spans="1:11" ht="20.100000000000001" customHeight="1">
      <c r="A58" s="161"/>
      <c r="B58" s="162"/>
      <c r="K58" s="4"/>
    </row>
    <row r="59" spans="1:11" ht="20.100000000000001" customHeight="1">
      <c r="A59" s="161"/>
      <c r="B59" s="162"/>
      <c r="K59" s="4"/>
    </row>
    <row r="60" spans="1:11" ht="20.100000000000001" customHeight="1">
      <c r="A60" s="133" t="s">
        <v>104</v>
      </c>
      <c r="B60" s="134" t="s">
        <v>202</v>
      </c>
      <c r="K60" s="4"/>
    </row>
    <row r="61" spans="1:11" ht="20.100000000000001" customHeight="1">
      <c r="A61" s="133" t="s">
        <v>105</v>
      </c>
      <c r="B61" s="134" t="s">
        <v>203</v>
      </c>
      <c r="K61" s="4"/>
    </row>
    <row r="62" spans="1:11" ht="20.100000000000001" customHeight="1">
      <c r="A62" s="133" t="s">
        <v>111</v>
      </c>
      <c r="B62" s="134" t="s">
        <v>204</v>
      </c>
      <c r="K62" s="4"/>
    </row>
    <row r="63" spans="1:11" ht="20.100000000000001" customHeight="1">
      <c r="A63" s="1" t="s">
        <v>106</v>
      </c>
      <c r="B63" s="12" t="s">
        <v>205</v>
      </c>
      <c r="K63" s="4"/>
    </row>
    <row r="64" spans="1:11" ht="20.100000000000001" customHeight="1">
      <c r="A64" s="1" t="s">
        <v>107</v>
      </c>
      <c r="B64" s="12" t="s">
        <v>206</v>
      </c>
      <c r="K64" s="4"/>
    </row>
    <row r="65" spans="1:11" ht="20.100000000000001" customHeight="1">
      <c r="A65" s="1" t="s">
        <v>108</v>
      </c>
      <c r="B65" s="12" t="s">
        <v>207</v>
      </c>
      <c r="K65" s="4"/>
    </row>
    <row r="66" spans="1:11" ht="20.100000000000001" customHeight="1">
      <c r="A66" s="1" t="s">
        <v>101</v>
      </c>
      <c r="B66" s="12" t="s">
        <v>208</v>
      </c>
      <c r="K66" s="4"/>
    </row>
    <row r="67" spans="1:11" ht="20.100000000000001" customHeight="1">
      <c r="A67" s="1" t="s">
        <v>285</v>
      </c>
      <c r="B67" s="12" t="s">
        <v>209</v>
      </c>
      <c r="K67" s="4"/>
    </row>
    <row r="68" spans="1:11" ht="20.100000000000001" customHeight="1">
      <c r="A68" s="1" t="s">
        <v>284</v>
      </c>
      <c r="B68" s="12" t="s">
        <v>210</v>
      </c>
      <c r="K68" s="4"/>
    </row>
    <row r="69" spans="1:11" ht="20.100000000000001" customHeight="1">
      <c r="A69" s="1" t="s">
        <v>116</v>
      </c>
      <c r="B69" s="12" t="s">
        <v>211</v>
      </c>
      <c r="K69" s="4"/>
    </row>
    <row r="70" spans="1:11" ht="20.100000000000001" customHeight="1">
      <c r="A70" s="1" t="s">
        <v>165</v>
      </c>
      <c r="B70" s="12" t="s">
        <v>212</v>
      </c>
      <c r="K70" s="4"/>
    </row>
    <row r="71" spans="1:11" ht="20.100000000000001" customHeight="1">
      <c r="A71" s="1" t="s">
        <v>166</v>
      </c>
      <c r="B71" s="12" t="s">
        <v>213</v>
      </c>
      <c r="K71" s="4"/>
    </row>
    <row r="72" spans="1:11" ht="20.100000000000001" customHeight="1">
      <c r="A72" s="1" t="s">
        <v>167</v>
      </c>
      <c r="B72" s="12" t="s">
        <v>214</v>
      </c>
      <c r="K72" s="4"/>
    </row>
    <row r="73" spans="1:11" ht="20.100000000000001" customHeight="1">
      <c r="A73" s="1" t="s">
        <v>168</v>
      </c>
      <c r="B73" s="12" t="s">
        <v>215</v>
      </c>
      <c r="K73" s="4"/>
    </row>
    <row r="74" spans="1:11" ht="20.100000000000001" customHeight="1">
      <c r="A74" s="1" t="s">
        <v>99</v>
      </c>
      <c r="B74" s="12" t="s">
        <v>190</v>
      </c>
      <c r="K74" s="4"/>
    </row>
    <row r="75" spans="1:11" ht="20.100000000000001" customHeight="1">
      <c r="A75" s="1" t="s">
        <v>163</v>
      </c>
      <c r="B75" s="12" t="s">
        <v>222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3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1:B22 B26 B37:B46 B48:B49">
      <formula1>"TRUE,FALSE"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0" zoomScaleNormal="8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1" customWidth="1"/>
    <col min="8" max="8" width="10.625" style="21" customWidth="1"/>
    <col min="9" max="10" width="6.625" style="21" customWidth="1"/>
    <col min="11" max="12" width="8.625" style="21" customWidth="1"/>
    <col min="13" max="14" width="10.625" style="66" customWidth="1"/>
    <col min="15" max="16" width="8.625" style="21" customWidth="1"/>
    <col min="17" max="18" width="7.625" style="21" customWidth="1"/>
    <col min="19" max="19" width="10.625" style="21" customWidth="1"/>
    <col min="20" max="20" width="40.625" style="20" customWidth="1"/>
    <col min="21" max="16384" width="3.125" style="18"/>
  </cols>
  <sheetData>
    <row r="1" spans="1:21" s="196" customFormat="1" ht="20.100000000000001" customHeight="1">
      <c r="A1" s="63"/>
      <c r="B1" s="34"/>
      <c r="C1" s="34"/>
      <c r="D1" s="34"/>
      <c r="E1" s="34"/>
      <c r="F1" s="278"/>
      <c r="G1" s="34"/>
      <c r="H1" s="34"/>
      <c r="I1" s="34"/>
      <c r="J1" s="34"/>
      <c r="K1" s="34"/>
      <c r="L1" s="80"/>
      <c r="M1" s="80"/>
      <c r="N1" s="80"/>
      <c r="O1" s="34"/>
      <c r="P1" s="34"/>
      <c r="Q1" s="34"/>
      <c r="R1" s="34"/>
      <c r="S1" s="34"/>
      <c r="T1" s="284"/>
      <c r="U1" s="285"/>
    </row>
    <row r="2" spans="1:21" s="196" customFormat="1" ht="20.100000000000001" customHeight="1">
      <c r="A2" s="299" t="s">
        <v>255</v>
      </c>
      <c r="B2" s="299" t="s">
        <v>0</v>
      </c>
      <c r="C2" s="300" t="s">
        <v>110</v>
      </c>
      <c r="D2" s="300" t="s">
        <v>217</v>
      </c>
      <c r="E2" s="301" t="s">
        <v>51</v>
      </c>
      <c r="F2" s="106" t="s">
        <v>2</v>
      </c>
      <c r="G2" s="279"/>
      <c r="H2" s="297" t="s">
        <v>1</v>
      </c>
      <c r="I2" s="106" t="s">
        <v>25</v>
      </c>
      <c r="J2" s="279"/>
      <c r="K2" s="106" t="s">
        <v>32</v>
      </c>
      <c r="L2" s="279"/>
      <c r="M2" s="301" t="s">
        <v>188</v>
      </c>
      <c r="N2" s="301" t="s">
        <v>100</v>
      </c>
      <c r="O2" s="106" t="s">
        <v>112</v>
      </c>
      <c r="P2" s="280"/>
      <c r="Q2" s="106" t="s">
        <v>26</v>
      </c>
      <c r="R2" s="280"/>
      <c r="S2" s="297" t="s">
        <v>37</v>
      </c>
      <c r="T2" s="293" t="s">
        <v>27</v>
      </c>
      <c r="U2" s="285"/>
    </row>
    <row r="3" spans="1:21" s="196" customFormat="1" ht="20.100000000000001" customHeight="1">
      <c r="A3" s="299"/>
      <c r="B3" s="299"/>
      <c r="C3" s="300"/>
      <c r="D3" s="300"/>
      <c r="E3" s="301"/>
      <c r="F3" s="107" t="s">
        <v>3</v>
      </c>
      <c r="G3" s="277" t="s">
        <v>4</v>
      </c>
      <c r="H3" s="298"/>
      <c r="I3" s="107" t="s">
        <v>28</v>
      </c>
      <c r="J3" s="277" t="s">
        <v>29</v>
      </c>
      <c r="K3" s="107" t="s">
        <v>33</v>
      </c>
      <c r="L3" s="277" t="s">
        <v>34</v>
      </c>
      <c r="M3" s="301"/>
      <c r="N3" s="301"/>
      <c r="O3" s="107" t="s">
        <v>113</v>
      </c>
      <c r="P3" s="277" t="s">
        <v>114</v>
      </c>
      <c r="Q3" s="107" t="s">
        <v>30</v>
      </c>
      <c r="R3" s="277" t="s">
        <v>31</v>
      </c>
      <c r="S3" s="298"/>
      <c r="T3" s="294"/>
      <c r="U3" s="285"/>
    </row>
    <row r="4" spans="1:21" s="196" customFormat="1" ht="20.100000000000001" customHeight="1">
      <c r="A4" s="19"/>
      <c r="B4" s="19"/>
      <c r="C4" s="19"/>
      <c r="D4" s="81"/>
      <c r="E4" s="200"/>
      <c r="F4" s="281"/>
      <c r="G4" s="282"/>
      <c r="H4" s="136"/>
      <c r="I4" s="281"/>
      <c r="J4" s="282"/>
      <c r="K4" s="281"/>
      <c r="L4" s="282"/>
      <c r="M4" s="119"/>
      <c r="N4" s="84"/>
      <c r="O4" s="108"/>
      <c r="P4" s="283"/>
      <c r="Q4" s="108"/>
      <c r="R4" s="283"/>
      <c r="S4" s="109"/>
      <c r="T4" s="235"/>
      <c r="U4" s="285"/>
    </row>
    <row r="5" spans="1:21" s="196" customFormat="1" ht="35.1" customHeight="1">
      <c r="A5" s="295" t="s">
        <v>247</v>
      </c>
      <c r="B5" s="295"/>
      <c r="C5" s="295"/>
      <c r="D5" s="296"/>
      <c r="E5" s="296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234"/>
      <c r="U5" s="285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0" zoomScaleNormal="80" workbookViewId="0">
      <selection activeCell="K28" sqref="K28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6" customWidth="1"/>
    <col min="15" max="15" width="8.625" style="21" customWidth="1"/>
    <col min="16" max="16" width="8.625" style="91" customWidth="1"/>
    <col min="17" max="18" width="7.625" style="42" customWidth="1"/>
    <col min="19" max="19" width="10.625" style="43" customWidth="1"/>
    <col min="20" max="20" width="40.625" style="20" customWidth="1"/>
    <col min="21" max="16384" width="3.125" style="18"/>
  </cols>
  <sheetData>
    <row r="1" spans="1:20" ht="20.100000000000001" customHeight="1">
      <c r="A1" s="63"/>
      <c r="B1" s="34"/>
      <c r="C1" s="34"/>
      <c r="D1" s="34"/>
      <c r="E1" s="34"/>
      <c r="F1" s="23"/>
      <c r="G1" s="64"/>
      <c r="H1" s="34"/>
      <c r="I1" s="64"/>
      <c r="J1" s="64"/>
      <c r="K1" s="65"/>
      <c r="L1" s="67"/>
      <c r="M1" s="80"/>
      <c r="N1" s="80"/>
      <c r="O1" s="34"/>
      <c r="P1" s="90"/>
      <c r="Q1" s="37"/>
      <c r="R1" s="37"/>
      <c r="S1" s="39"/>
      <c r="T1" s="41"/>
    </row>
    <row r="2" spans="1:20" ht="20.100000000000001" customHeight="1">
      <c r="A2" s="299" t="s">
        <v>52</v>
      </c>
      <c r="B2" s="299" t="s">
        <v>0</v>
      </c>
      <c r="C2" s="300" t="s">
        <v>110</v>
      </c>
      <c r="D2" s="300" t="s">
        <v>217</v>
      </c>
      <c r="E2" s="301" t="s">
        <v>51</v>
      </c>
      <c r="F2" s="92" t="s">
        <v>2</v>
      </c>
      <c r="G2" s="93"/>
      <c r="H2" s="297" t="s">
        <v>1</v>
      </c>
      <c r="I2" s="92" t="s">
        <v>25</v>
      </c>
      <c r="J2" s="93"/>
      <c r="K2" s="94" t="s">
        <v>32</v>
      </c>
      <c r="L2" s="95"/>
      <c r="M2" s="301" t="s">
        <v>188</v>
      </c>
      <c r="N2" s="301" t="s">
        <v>100</v>
      </c>
      <c r="O2" s="106" t="s">
        <v>112</v>
      </c>
      <c r="P2" s="97"/>
      <c r="Q2" s="96" t="s">
        <v>26</v>
      </c>
      <c r="R2" s="98"/>
      <c r="S2" s="302" t="s">
        <v>37</v>
      </c>
      <c r="T2" s="304" t="s">
        <v>27</v>
      </c>
    </row>
    <row r="3" spans="1:20" s="28" customFormat="1" ht="20.100000000000001" customHeight="1">
      <c r="A3" s="299"/>
      <c r="B3" s="299"/>
      <c r="C3" s="300"/>
      <c r="D3" s="300"/>
      <c r="E3" s="301"/>
      <c r="F3" s="99" t="s">
        <v>3</v>
      </c>
      <c r="G3" s="100" t="s">
        <v>4</v>
      </c>
      <c r="H3" s="298"/>
      <c r="I3" s="99" t="s">
        <v>28</v>
      </c>
      <c r="J3" s="100" t="s">
        <v>29</v>
      </c>
      <c r="K3" s="101" t="s">
        <v>33</v>
      </c>
      <c r="L3" s="102" t="s">
        <v>34</v>
      </c>
      <c r="M3" s="301"/>
      <c r="N3" s="301"/>
      <c r="O3" s="107" t="s">
        <v>113</v>
      </c>
      <c r="P3" s="104" t="s">
        <v>114</v>
      </c>
      <c r="Q3" s="103" t="s">
        <v>30</v>
      </c>
      <c r="R3" s="105" t="s">
        <v>31</v>
      </c>
      <c r="S3" s="303"/>
      <c r="T3" s="294"/>
    </row>
    <row r="4" spans="1:20" s="29" customFormat="1" ht="20.100000000000001" customHeight="1">
      <c r="A4" s="19"/>
      <c r="B4" s="19"/>
      <c r="C4" s="19"/>
      <c r="D4" s="19"/>
      <c r="E4" s="135"/>
      <c r="F4" s="24"/>
      <c r="G4" s="85"/>
      <c r="H4" s="136"/>
      <c r="I4" s="24"/>
      <c r="J4" s="85"/>
      <c r="K4" s="27"/>
      <c r="L4" s="86"/>
      <c r="M4" s="119"/>
      <c r="N4" s="84"/>
      <c r="O4" s="108"/>
      <c r="P4" s="88"/>
      <c r="Q4" s="32"/>
      <c r="R4" s="87"/>
      <c r="S4" s="33"/>
      <c r="T4" s="44"/>
    </row>
    <row r="5" spans="1:20" ht="35.1" customHeight="1">
      <c r="A5" s="295" t="s">
        <v>247</v>
      </c>
      <c r="B5" s="295"/>
      <c r="C5" s="295"/>
      <c r="D5" s="296"/>
      <c r="E5" s="296"/>
      <c r="F5" s="36"/>
      <c r="G5" s="36"/>
      <c r="H5" s="36"/>
      <c r="I5" s="36"/>
      <c r="J5" s="31"/>
      <c r="K5" s="137"/>
      <c r="L5" s="137"/>
      <c r="M5" s="31"/>
      <c r="N5" s="31"/>
      <c r="O5" s="31"/>
      <c r="P5" s="89"/>
      <c r="Q5" s="38"/>
      <c r="R5" s="38"/>
      <c r="S5" s="138">
        <v>-9.6</v>
      </c>
      <c r="T5" s="31"/>
    </row>
    <row r="6" spans="1:20" s="29" customFormat="1" ht="20.100000000000001" customHeight="1">
      <c r="A6" s="19">
        <v>1</v>
      </c>
      <c r="B6" s="19">
        <f ca="1">getIndentLevel($E$6)</f>
        <v>1</v>
      </c>
      <c r="C6" s="81"/>
      <c r="D6" s="19">
        <f t="shared" ref="D6:D19" si="0">ROW()-5</f>
        <v>1</v>
      </c>
      <c r="E6" s="135" t="s">
        <v>86</v>
      </c>
      <c r="F6" s="24">
        <v>44076</v>
      </c>
      <c r="G6" s="85">
        <v>44098</v>
      </c>
      <c r="H6" s="136" t="s">
        <v>36</v>
      </c>
      <c r="I6" s="24"/>
      <c r="J6" s="85"/>
      <c r="K6" s="27"/>
      <c r="L6" s="86"/>
      <c r="M6" s="119"/>
      <c r="N6" s="84"/>
      <c r="O6" s="108"/>
      <c r="P6" s="88" t="s">
        <v>196</v>
      </c>
      <c r="Q6" s="32">
        <f>17</f>
        <v>17</v>
      </c>
      <c r="R6" s="87">
        <f>4</f>
        <v>4</v>
      </c>
      <c r="S6" s="33">
        <v>-7</v>
      </c>
      <c r="T6" s="44"/>
    </row>
    <row r="7" spans="1:20" s="29" customFormat="1" ht="20.100000000000001" customHeight="1">
      <c r="A7" s="19">
        <v>2</v>
      </c>
      <c r="B7" s="19">
        <f ca="1">getIndentLevel($E$7)</f>
        <v>2</v>
      </c>
      <c r="C7" s="81"/>
      <c r="D7" s="19">
        <f t="shared" si="0"/>
        <v>2</v>
      </c>
      <c r="E7" s="139" t="s">
        <v>87</v>
      </c>
      <c r="F7" s="24">
        <v>44076</v>
      </c>
      <c r="G7" s="85">
        <v>44083</v>
      </c>
      <c r="H7" s="136" t="s">
        <v>36</v>
      </c>
      <c r="I7" s="24"/>
      <c r="J7" s="85"/>
      <c r="K7" s="27"/>
      <c r="L7" s="86"/>
      <c r="M7" s="119"/>
      <c r="N7" s="84"/>
      <c r="O7" s="108">
        <v>6</v>
      </c>
      <c r="P7" s="88" t="s">
        <v>115</v>
      </c>
      <c r="Q7" s="32">
        <f>6</f>
        <v>6</v>
      </c>
      <c r="R7" s="87">
        <f>4</f>
        <v>4</v>
      </c>
      <c r="S7" s="33">
        <v>-7</v>
      </c>
      <c r="T7" s="44"/>
    </row>
    <row r="8" spans="1:20" s="29" customFormat="1" ht="20.100000000000001" customHeight="1">
      <c r="A8" s="19">
        <v>3</v>
      </c>
      <c r="B8" s="19">
        <f ca="1">getIndentLevel($E$8)</f>
        <v>3</v>
      </c>
      <c r="C8" s="81"/>
      <c r="D8" s="19">
        <f t="shared" si="0"/>
        <v>3</v>
      </c>
      <c r="E8" s="140" t="s">
        <v>176</v>
      </c>
      <c r="F8" s="24">
        <v>44076</v>
      </c>
      <c r="G8" s="85">
        <v>44077</v>
      </c>
      <c r="H8" s="136" t="s">
        <v>135</v>
      </c>
      <c r="I8" s="24"/>
      <c r="J8" s="85"/>
      <c r="K8" s="27"/>
      <c r="L8" s="86"/>
      <c r="M8" s="119"/>
      <c r="N8" s="84"/>
      <c r="O8" s="108">
        <v>7</v>
      </c>
      <c r="P8" s="88"/>
      <c r="Q8" s="32">
        <f>2</f>
        <v>2</v>
      </c>
      <c r="R8" s="87">
        <f>4</f>
        <v>4</v>
      </c>
      <c r="S8" s="33">
        <v>-4</v>
      </c>
      <c r="T8" s="44"/>
    </row>
    <row r="9" spans="1:20" s="29" customFormat="1" ht="20.100000000000001" customHeight="1">
      <c r="A9" s="19">
        <v>4</v>
      </c>
      <c r="B9" s="19">
        <f ca="1">getIndentLevel($E$9)</f>
        <v>3</v>
      </c>
      <c r="C9" s="81"/>
      <c r="D9" s="19">
        <f t="shared" si="0"/>
        <v>4</v>
      </c>
      <c r="E9" s="140" t="s">
        <v>250</v>
      </c>
      <c r="F9" s="24">
        <v>44078</v>
      </c>
      <c r="G9" s="85">
        <v>44081</v>
      </c>
      <c r="H9" s="136" t="s">
        <v>139</v>
      </c>
      <c r="I9" s="24"/>
      <c r="J9" s="85"/>
      <c r="K9" s="27"/>
      <c r="L9" s="86"/>
      <c r="M9" s="119"/>
      <c r="N9" s="84"/>
      <c r="O9" s="108">
        <v>7</v>
      </c>
      <c r="P9" s="88"/>
      <c r="Q9" s="32">
        <f>2</f>
        <v>2</v>
      </c>
      <c r="R9" s="87">
        <f>2</f>
        <v>2</v>
      </c>
      <c r="S9" s="33">
        <v>-2</v>
      </c>
      <c r="T9" s="44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1"/>
      <c r="D10" s="19">
        <f t="shared" si="0"/>
        <v>5</v>
      </c>
      <c r="E10" s="140" t="s">
        <v>252</v>
      </c>
      <c r="F10" s="24">
        <v>44081</v>
      </c>
      <c r="G10" s="85">
        <v>44083</v>
      </c>
      <c r="H10" s="136" t="s">
        <v>143</v>
      </c>
      <c r="I10" s="24"/>
      <c r="J10" s="85"/>
      <c r="K10" s="27"/>
      <c r="L10" s="86"/>
      <c r="M10" s="119"/>
      <c r="N10" s="84"/>
      <c r="O10" s="108">
        <v>7</v>
      </c>
      <c r="P10" s="88"/>
      <c r="Q10" s="32">
        <f>3</f>
        <v>3</v>
      </c>
      <c r="R10" s="87">
        <f>1</f>
        <v>1</v>
      </c>
      <c r="S10" s="33">
        <v>-1</v>
      </c>
      <c r="T10" s="44"/>
    </row>
    <row r="11" spans="1:20" ht="20.100000000000001" customHeight="1">
      <c r="A11" s="19">
        <v>6</v>
      </c>
      <c r="B11" s="19">
        <f ca="1">getIndentLevel($E$11)</f>
        <v>2</v>
      </c>
      <c r="C11" s="81"/>
      <c r="D11" s="19">
        <f t="shared" si="0"/>
        <v>6</v>
      </c>
      <c r="E11" s="139" t="s">
        <v>234</v>
      </c>
      <c r="F11" s="24">
        <v>44084</v>
      </c>
      <c r="G11" s="85">
        <v>44098</v>
      </c>
      <c r="H11" s="136" t="s">
        <v>36</v>
      </c>
      <c r="I11" s="24"/>
      <c r="J11" s="85"/>
      <c r="K11" s="27"/>
      <c r="L11" s="86"/>
      <c r="M11" s="119"/>
      <c r="N11" s="84"/>
      <c r="O11" s="108">
        <v>7</v>
      </c>
      <c r="P11" s="88" t="s">
        <v>197</v>
      </c>
      <c r="Q11" s="32">
        <f>11</f>
        <v>11</v>
      </c>
      <c r="R11" s="87">
        <f>4</f>
        <v>4</v>
      </c>
      <c r="S11" s="33">
        <v>0</v>
      </c>
      <c r="T11" s="44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1"/>
      <c r="D12" s="19">
        <f t="shared" si="0"/>
        <v>7</v>
      </c>
      <c r="E12" s="140" t="s">
        <v>164</v>
      </c>
      <c r="F12" s="24">
        <v>44084</v>
      </c>
      <c r="G12" s="85">
        <v>44092</v>
      </c>
      <c r="H12" s="136" t="s">
        <v>36</v>
      </c>
      <c r="I12" s="24"/>
      <c r="J12" s="85"/>
      <c r="K12" s="27"/>
      <c r="L12" s="86"/>
      <c r="M12" s="119"/>
      <c r="N12" s="84"/>
      <c r="O12" s="108">
        <v>11</v>
      </c>
      <c r="P12" s="88" t="s">
        <v>174</v>
      </c>
      <c r="Q12" s="32">
        <f>7</f>
        <v>7</v>
      </c>
      <c r="R12" s="87">
        <f>4</f>
        <v>4</v>
      </c>
      <c r="S12" s="33">
        <v>0</v>
      </c>
      <c r="T12" s="44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1"/>
      <c r="D13" s="19">
        <f t="shared" si="0"/>
        <v>8</v>
      </c>
      <c r="E13" s="141" t="s">
        <v>225</v>
      </c>
      <c r="F13" s="24">
        <v>44084</v>
      </c>
      <c r="G13" s="85">
        <v>44088</v>
      </c>
      <c r="H13" s="136" t="s">
        <v>191</v>
      </c>
      <c r="I13" s="24"/>
      <c r="J13" s="85"/>
      <c r="K13" s="27"/>
      <c r="L13" s="86"/>
      <c r="M13" s="119" t="s">
        <v>192</v>
      </c>
      <c r="N13" s="84"/>
      <c r="O13" s="108">
        <v>12</v>
      </c>
      <c r="P13" s="88"/>
      <c r="Q13" s="32">
        <f>3</f>
        <v>3</v>
      </c>
      <c r="R13" s="87"/>
      <c r="S13" s="33">
        <v>0</v>
      </c>
      <c r="T13" s="44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1"/>
      <c r="D14" s="19">
        <f t="shared" si="0"/>
        <v>9</v>
      </c>
      <c r="E14" s="141" t="s">
        <v>226</v>
      </c>
      <c r="F14" s="24">
        <v>44088</v>
      </c>
      <c r="G14" s="85">
        <v>44090</v>
      </c>
      <c r="H14" s="136" t="s">
        <v>139</v>
      </c>
      <c r="I14" s="24"/>
      <c r="J14" s="85"/>
      <c r="K14" s="27"/>
      <c r="L14" s="86"/>
      <c r="M14" s="119"/>
      <c r="N14" s="84"/>
      <c r="O14" s="108">
        <v>12</v>
      </c>
      <c r="P14" s="88"/>
      <c r="Q14" s="32">
        <f>3</f>
        <v>3</v>
      </c>
      <c r="R14" s="87"/>
      <c r="S14" s="33">
        <v>0</v>
      </c>
      <c r="T14" s="44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1"/>
      <c r="D15" s="19">
        <f t="shared" si="0"/>
        <v>10</v>
      </c>
      <c r="E15" s="141" t="s">
        <v>227</v>
      </c>
      <c r="F15" s="24">
        <v>44091</v>
      </c>
      <c r="G15" s="85">
        <v>44092</v>
      </c>
      <c r="H15" s="136" t="s">
        <v>143</v>
      </c>
      <c r="I15" s="24"/>
      <c r="J15" s="85"/>
      <c r="K15" s="27"/>
      <c r="L15" s="86"/>
      <c r="M15" s="119"/>
      <c r="N15" s="84"/>
      <c r="O15" s="108">
        <v>12</v>
      </c>
      <c r="P15" s="88"/>
      <c r="Q15" s="32">
        <f>2</f>
        <v>2</v>
      </c>
      <c r="R15" s="87"/>
      <c r="S15" s="33">
        <v>0</v>
      </c>
      <c r="T15" s="44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1"/>
      <c r="D16" s="19">
        <f t="shared" si="0"/>
        <v>11</v>
      </c>
      <c r="E16" s="140" t="s">
        <v>195</v>
      </c>
      <c r="F16" s="24">
        <v>44089</v>
      </c>
      <c r="G16" s="85">
        <v>44098</v>
      </c>
      <c r="H16" s="136" t="s">
        <v>36</v>
      </c>
      <c r="I16" s="24"/>
      <c r="J16" s="85"/>
      <c r="K16" s="27"/>
      <c r="L16" s="86"/>
      <c r="M16" s="119"/>
      <c r="N16" s="84"/>
      <c r="O16" s="108">
        <v>12</v>
      </c>
      <c r="P16" s="88" t="s">
        <v>198</v>
      </c>
      <c r="Q16" s="32">
        <f>8</f>
        <v>8</v>
      </c>
      <c r="R16" s="87">
        <f>7</f>
        <v>7</v>
      </c>
      <c r="S16" s="33">
        <v>0</v>
      </c>
      <c r="T16" s="44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1"/>
      <c r="D17" s="19">
        <f t="shared" si="0"/>
        <v>12</v>
      </c>
      <c r="E17" s="141" t="s">
        <v>235</v>
      </c>
      <c r="F17" s="24">
        <v>44089</v>
      </c>
      <c r="G17" s="85">
        <v>44092</v>
      </c>
      <c r="H17" s="136" t="s">
        <v>193</v>
      </c>
      <c r="I17" s="24"/>
      <c r="J17" s="85"/>
      <c r="K17" s="27"/>
      <c r="L17" s="86"/>
      <c r="M17" s="119" t="s">
        <v>194</v>
      </c>
      <c r="N17" s="84"/>
      <c r="O17" s="108">
        <v>16</v>
      </c>
      <c r="P17" s="88"/>
      <c r="Q17" s="32">
        <f>4</f>
        <v>4</v>
      </c>
      <c r="R17" s="87"/>
      <c r="S17" s="33">
        <v>0</v>
      </c>
      <c r="T17" s="44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1"/>
      <c r="D18" s="19">
        <f t="shared" si="0"/>
        <v>13</v>
      </c>
      <c r="E18" s="141" t="s">
        <v>236</v>
      </c>
      <c r="F18" s="24">
        <v>44091</v>
      </c>
      <c r="G18" s="85">
        <v>44097</v>
      </c>
      <c r="H18" s="136" t="s">
        <v>139</v>
      </c>
      <c r="I18" s="24"/>
      <c r="J18" s="85"/>
      <c r="K18" s="27"/>
      <c r="L18" s="86"/>
      <c r="M18" s="119"/>
      <c r="N18" s="84"/>
      <c r="O18" s="108">
        <v>16</v>
      </c>
      <c r="P18" s="88"/>
      <c r="Q18" s="32">
        <f>5</f>
        <v>5</v>
      </c>
      <c r="R18" s="87"/>
      <c r="S18" s="33">
        <v>0</v>
      </c>
      <c r="T18" s="44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1"/>
      <c r="D19" s="19">
        <f t="shared" si="0"/>
        <v>14</v>
      </c>
      <c r="E19" s="141" t="s">
        <v>254</v>
      </c>
      <c r="F19" s="24">
        <v>44097</v>
      </c>
      <c r="G19" s="85">
        <v>44098</v>
      </c>
      <c r="H19" s="136" t="s">
        <v>142</v>
      </c>
      <c r="I19" s="24"/>
      <c r="J19" s="85"/>
      <c r="K19" s="27"/>
      <c r="L19" s="86"/>
      <c r="M19" s="119"/>
      <c r="N19" s="84"/>
      <c r="O19" s="108">
        <v>16</v>
      </c>
      <c r="P19" s="88"/>
      <c r="Q19" s="32">
        <f>2</f>
        <v>2</v>
      </c>
      <c r="R19" s="87"/>
      <c r="S19" s="33">
        <v>0</v>
      </c>
      <c r="T19" s="44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6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N21" sqref="N21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customWidth="1" outlineLevel="1"/>
    <col min="11" max="12" width="8.625" style="26" customWidth="1" outlineLevel="1"/>
    <col min="13" max="14" width="10.625" style="66" customWidth="1" outlineLevel="1"/>
    <col min="15" max="15" width="8.625" style="21" customWidth="1" outlineLevel="1"/>
    <col min="16" max="16" width="8.625" style="91" customWidth="1" outlineLevel="1"/>
    <col min="17" max="18" width="7.625" style="42" customWidth="1" outlineLevel="1"/>
    <col min="19" max="19" width="10.625" style="43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3"/>
      <c r="B1" s="34"/>
      <c r="C1" s="34"/>
      <c r="D1" s="34"/>
      <c r="E1" s="34"/>
      <c r="F1" s="34"/>
      <c r="G1" s="23"/>
      <c r="H1" s="64"/>
      <c r="I1" s="64"/>
      <c r="J1" s="64"/>
      <c r="K1" s="65"/>
      <c r="L1" s="67"/>
      <c r="M1" s="80"/>
      <c r="N1" s="115"/>
      <c r="O1" s="82"/>
      <c r="P1" s="116"/>
      <c r="Q1" s="117"/>
      <c r="R1" s="153"/>
      <c r="S1" s="154"/>
      <c r="T1" s="156"/>
    </row>
    <row r="2" spans="1:80" ht="20.100000000000001" customHeight="1">
      <c r="A2" s="299" t="s">
        <v>52</v>
      </c>
      <c r="B2" s="299" t="s">
        <v>0</v>
      </c>
      <c r="C2" s="299" t="s">
        <v>110</v>
      </c>
      <c r="D2" s="299" t="s">
        <v>217</v>
      </c>
      <c r="E2" s="300" t="s">
        <v>1</v>
      </c>
      <c r="F2" s="301" t="s">
        <v>51</v>
      </c>
      <c r="G2" s="92" t="s">
        <v>2</v>
      </c>
      <c r="H2" s="118"/>
      <c r="I2" s="118" t="s">
        <v>25</v>
      </c>
      <c r="J2" s="118"/>
      <c r="K2" s="110" t="s">
        <v>32</v>
      </c>
      <c r="L2" s="110"/>
      <c r="M2" s="301" t="s">
        <v>188</v>
      </c>
      <c r="N2" s="297" t="s">
        <v>100</v>
      </c>
      <c r="O2" s="106" t="s">
        <v>161</v>
      </c>
      <c r="P2" s="120"/>
      <c r="Q2" s="96" t="s">
        <v>162</v>
      </c>
      <c r="R2" s="150"/>
      <c r="S2" s="317" t="s">
        <v>37</v>
      </c>
      <c r="T2" s="312" t="s">
        <v>27</v>
      </c>
    </row>
    <row r="3" spans="1:80" s="28" customFormat="1" ht="20.100000000000001" customHeight="1">
      <c r="A3" s="299"/>
      <c r="B3" s="299"/>
      <c r="C3" s="299"/>
      <c r="D3" s="299"/>
      <c r="E3" s="299"/>
      <c r="F3" s="319"/>
      <c r="G3" s="99" t="s">
        <v>28</v>
      </c>
      <c r="H3" s="100" t="s">
        <v>29</v>
      </c>
      <c r="I3" s="99" t="s">
        <v>28</v>
      </c>
      <c r="J3" s="100" t="s">
        <v>29</v>
      </c>
      <c r="K3" s="101" t="s">
        <v>33</v>
      </c>
      <c r="L3" s="102" t="s">
        <v>34</v>
      </c>
      <c r="M3" s="301"/>
      <c r="N3" s="301"/>
      <c r="O3" s="107" t="s">
        <v>113</v>
      </c>
      <c r="P3" s="104" t="s">
        <v>114</v>
      </c>
      <c r="Q3" s="103" t="s">
        <v>30</v>
      </c>
      <c r="R3" s="151" t="s">
        <v>31</v>
      </c>
      <c r="S3" s="318"/>
      <c r="T3" s="313"/>
      <c r="U3" s="308">
        <v>44075</v>
      </c>
      <c r="V3" s="309"/>
      <c r="W3" s="309"/>
      <c r="X3" s="309"/>
      <c r="Y3" s="309"/>
      <c r="Z3" s="309"/>
      <c r="AA3" s="309"/>
      <c r="AB3" s="309"/>
      <c r="AC3" s="309"/>
      <c r="AD3" s="309"/>
      <c r="AE3" s="309"/>
      <c r="AF3" s="309"/>
      <c r="AG3" s="309"/>
      <c r="AH3" s="309"/>
      <c r="AI3" s="309"/>
      <c r="AJ3" s="309"/>
      <c r="AK3" s="309"/>
      <c r="AL3" s="309"/>
      <c r="AM3" s="309"/>
      <c r="AN3" s="309"/>
      <c r="AO3" s="309"/>
      <c r="AP3" s="309"/>
      <c r="AQ3" s="309"/>
      <c r="AR3" s="309"/>
      <c r="AS3" s="309"/>
      <c r="AT3" s="309"/>
      <c r="AU3" s="309"/>
      <c r="AV3" s="309"/>
      <c r="AW3" s="309"/>
      <c r="AX3" s="309"/>
      <c r="AY3" s="310">
        <v>44105</v>
      </c>
      <c r="AZ3" s="309"/>
      <c r="BA3" s="309"/>
      <c r="BB3" s="309"/>
      <c r="BC3" s="309"/>
      <c r="BD3" s="309"/>
      <c r="BE3" s="309"/>
      <c r="BF3" s="309"/>
      <c r="BG3" s="309"/>
      <c r="BH3" s="309"/>
      <c r="BI3" s="309"/>
      <c r="BJ3" s="309"/>
      <c r="BK3" s="309"/>
      <c r="BL3" s="309"/>
      <c r="BM3" s="309"/>
      <c r="BN3" s="309"/>
      <c r="BO3" s="309"/>
      <c r="BP3" s="309"/>
      <c r="BQ3" s="309"/>
      <c r="BR3" s="309"/>
      <c r="BS3" s="309"/>
      <c r="BT3" s="309"/>
      <c r="BU3" s="309"/>
      <c r="BV3" s="309"/>
      <c r="BW3" s="309"/>
      <c r="BX3" s="309"/>
      <c r="BY3" s="309"/>
      <c r="BZ3" s="309"/>
      <c r="CA3" s="309"/>
      <c r="CB3" s="311"/>
    </row>
    <row r="4" spans="1:80" s="29" customFormat="1" ht="20.100000000000001" customHeight="1">
      <c r="A4" s="19"/>
      <c r="B4" s="19"/>
      <c r="C4" s="149"/>
      <c r="D4" s="19"/>
      <c r="E4" s="109"/>
      <c r="F4" s="119"/>
      <c r="G4" s="24"/>
      <c r="H4" s="85"/>
      <c r="I4" s="24"/>
      <c r="J4" s="85"/>
      <c r="K4" s="27"/>
      <c r="L4" s="86"/>
      <c r="M4" s="84"/>
      <c r="N4" s="111"/>
      <c r="O4" s="112"/>
      <c r="P4" s="113"/>
      <c r="Q4" s="114"/>
      <c r="R4" s="152"/>
      <c r="S4" s="158"/>
      <c r="T4" s="157"/>
      <c r="U4" s="83">
        <v>44075</v>
      </c>
      <c r="V4" s="60">
        <v>44076</v>
      </c>
      <c r="W4" s="60">
        <v>44077</v>
      </c>
      <c r="X4" s="60">
        <v>44078</v>
      </c>
      <c r="Y4" s="61">
        <v>44079</v>
      </c>
      <c r="Z4" s="59">
        <v>44080</v>
      </c>
      <c r="AA4" s="60">
        <v>44081</v>
      </c>
      <c r="AB4" s="60">
        <v>44082</v>
      </c>
      <c r="AC4" s="60">
        <v>44083</v>
      </c>
      <c r="AD4" s="60">
        <v>44084</v>
      </c>
      <c r="AE4" s="60">
        <v>44085</v>
      </c>
      <c r="AF4" s="61">
        <v>44086</v>
      </c>
      <c r="AG4" s="59">
        <v>44087</v>
      </c>
      <c r="AH4" s="60">
        <v>44088</v>
      </c>
      <c r="AI4" s="60">
        <v>44089</v>
      </c>
      <c r="AJ4" s="60">
        <v>44090</v>
      </c>
      <c r="AK4" s="60">
        <v>44091</v>
      </c>
      <c r="AL4" s="60">
        <v>44092</v>
      </c>
      <c r="AM4" s="61">
        <v>44093</v>
      </c>
      <c r="AN4" s="59">
        <v>44094</v>
      </c>
      <c r="AO4" s="59">
        <v>44095</v>
      </c>
      <c r="AP4" s="59">
        <v>44096</v>
      </c>
      <c r="AQ4" s="60">
        <v>44097</v>
      </c>
      <c r="AR4" s="60">
        <v>44098</v>
      </c>
      <c r="AS4" s="60">
        <v>44099</v>
      </c>
      <c r="AT4" s="61">
        <v>44100</v>
      </c>
      <c r="AU4" s="59">
        <v>44101</v>
      </c>
      <c r="AV4" s="60">
        <v>44102</v>
      </c>
      <c r="AW4" s="60">
        <v>44103</v>
      </c>
      <c r="AX4" s="60">
        <v>44104</v>
      </c>
      <c r="AY4" s="62">
        <v>44105</v>
      </c>
      <c r="AZ4" s="60">
        <v>44106</v>
      </c>
      <c r="BA4" s="61">
        <v>44107</v>
      </c>
      <c r="BB4" s="59">
        <v>44108</v>
      </c>
      <c r="BC4" s="60">
        <v>44109</v>
      </c>
      <c r="BD4" s="60">
        <v>44110</v>
      </c>
      <c r="BE4" s="60">
        <v>44111</v>
      </c>
      <c r="BF4" s="60">
        <v>44112</v>
      </c>
      <c r="BG4" s="60">
        <v>44113</v>
      </c>
      <c r="BH4" s="61">
        <v>44114</v>
      </c>
      <c r="BI4" s="59">
        <v>44115</v>
      </c>
      <c r="BJ4" s="59">
        <v>44116</v>
      </c>
      <c r="BK4" s="60">
        <v>44117</v>
      </c>
      <c r="BL4" s="60">
        <v>44118</v>
      </c>
      <c r="BM4" s="60">
        <v>44119</v>
      </c>
      <c r="BN4" s="60">
        <v>44120</v>
      </c>
      <c r="BO4" s="61">
        <v>44121</v>
      </c>
      <c r="BP4" s="59">
        <v>44122</v>
      </c>
      <c r="BQ4" s="60">
        <v>44123</v>
      </c>
      <c r="BR4" s="60">
        <v>44124</v>
      </c>
      <c r="BS4" s="60">
        <v>44125</v>
      </c>
      <c r="BT4" s="60">
        <v>44126</v>
      </c>
      <c r="BU4" s="60">
        <v>44127</v>
      </c>
      <c r="BV4" s="61">
        <v>44128</v>
      </c>
      <c r="BW4" s="59">
        <v>44129</v>
      </c>
      <c r="BX4" s="60">
        <v>44130</v>
      </c>
      <c r="BY4" s="60">
        <v>44131</v>
      </c>
      <c r="BZ4" s="60">
        <v>44132</v>
      </c>
      <c r="CA4" s="60">
        <v>44133</v>
      </c>
      <c r="CB4" s="266">
        <v>44134</v>
      </c>
    </row>
    <row r="5" spans="1:80" s="196" customFormat="1" ht="35.1" customHeight="1">
      <c r="A5" s="314" t="s">
        <v>247</v>
      </c>
      <c r="B5" s="315"/>
      <c r="C5" s="315"/>
      <c r="D5" s="315"/>
      <c r="E5" s="315"/>
      <c r="F5" s="315"/>
      <c r="G5" s="36"/>
      <c r="H5" s="36"/>
      <c r="I5" s="36"/>
      <c r="J5" s="36"/>
      <c r="K5" s="137"/>
      <c r="L5" s="137"/>
      <c r="M5" s="31"/>
      <c r="N5" s="31"/>
      <c r="O5" s="31"/>
      <c r="P5" s="89"/>
      <c r="Q5" s="38"/>
      <c r="R5" s="38"/>
      <c r="S5" s="138"/>
      <c r="T5" s="234"/>
      <c r="U5" s="83"/>
      <c r="V5" s="60"/>
      <c r="W5" s="60"/>
      <c r="X5" s="60"/>
      <c r="Y5" s="61"/>
      <c r="Z5" s="59"/>
      <c r="AA5" s="60"/>
      <c r="AB5" s="60"/>
      <c r="AC5" s="60"/>
      <c r="AD5" s="60"/>
      <c r="AE5" s="60"/>
      <c r="AF5" s="61"/>
      <c r="AG5" s="59"/>
      <c r="AH5" s="60"/>
      <c r="AI5" s="60"/>
      <c r="AJ5" s="60"/>
      <c r="AK5" s="60"/>
      <c r="AL5" s="60"/>
      <c r="AM5" s="61"/>
      <c r="AN5" s="59"/>
      <c r="AO5" s="59"/>
      <c r="AP5" s="59"/>
      <c r="AQ5" s="60"/>
      <c r="AR5" s="60"/>
      <c r="AS5" s="60"/>
      <c r="AT5" s="61"/>
      <c r="AU5" s="59"/>
      <c r="AV5" s="60"/>
      <c r="AW5" s="60"/>
      <c r="AX5" s="60"/>
      <c r="AY5" s="62"/>
      <c r="AZ5" s="60"/>
      <c r="BA5" s="61"/>
      <c r="BB5" s="59"/>
      <c r="BC5" s="60"/>
      <c r="BD5" s="60"/>
      <c r="BE5" s="60"/>
      <c r="BF5" s="60"/>
      <c r="BG5" s="60"/>
      <c r="BH5" s="61"/>
      <c r="BI5" s="59"/>
      <c r="BJ5" s="59"/>
      <c r="BK5" s="60"/>
      <c r="BL5" s="60"/>
      <c r="BM5" s="60"/>
      <c r="BN5" s="60"/>
      <c r="BO5" s="61"/>
      <c r="BP5" s="59"/>
      <c r="BQ5" s="60"/>
      <c r="BR5" s="60"/>
      <c r="BS5" s="60"/>
      <c r="BT5" s="60"/>
      <c r="BU5" s="60"/>
      <c r="BV5" s="61"/>
      <c r="BW5" s="59"/>
      <c r="BX5" s="60"/>
      <c r="BY5" s="60"/>
      <c r="BZ5" s="60"/>
      <c r="CA5" s="60"/>
      <c r="CB5" s="266"/>
    </row>
    <row r="6" spans="1:80" s="29" customFormat="1" ht="20.100000000000001" customHeight="1">
      <c r="A6" s="239">
        <v>3</v>
      </c>
      <c r="B6" s="239">
        <v>1</v>
      </c>
      <c r="C6" s="239"/>
      <c r="D6" s="239">
        <v>3</v>
      </c>
      <c r="E6" s="316" t="s">
        <v>135</v>
      </c>
      <c r="F6" s="240" t="s">
        <v>223</v>
      </c>
      <c r="G6" s="24">
        <v>44076</v>
      </c>
      <c r="H6" s="241">
        <v>44077</v>
      </c>
      <c r="I6" s="24"/>
      <c r="J6" s="241"/>
      <c r="K6" s="27"/>
      <c r="L6" s="242">
        <v>0</v>
      </c>
      <c r="M6" s="243"/>
      <c r="N6" s="244"/>
      <c r="O6" s="112">
        <v>7</v>
      </c>
      <c r="P6" s="113"/>
      <c r="Q6" s="114">
        <v>2</v>
      </c>
      <c r="R6" s="245">
        <v>4</v>
      </c>
      <c r="S6" s="246">
        <v>-4</v>
      </c>
      <c r="T6" s="157"/>
      <c r="U6" s="83"/>
      <c r="V6" s="60"/>
      <c r="W6" s="60"/>
      <c r="X6" s="60"/>
      <c r="Y6" s="61"/>
      <c r="Z6" s="59"/>
      <c r="AA6" s="60"/>
      <c r="AB6" s="60"/>
      <c r="AC6" s="60"/>
      <c r="AD6" s="60"/>
      <c r="AE6" s="60"/>
      <c r="AF6" s="61"/>
      <c r="AG6" s="59"/>
      <c r="AH6" s="60"/>
      <c r="AI6" s="60"/>
      <c r="AJ6" s="60"/>
      <c r="AK6" s="60"/>
      <c r="AL6" s="60"/>
      <c r="AM6" s="61"/>
      <c r="AN6" s="59"/>
      <c r="AO6" s="59"/>
      <c r="AP6" s="59"/>
      <c r="AQ6" s="60"/>
      <c r="AR6" s="60"/>
      <c r="AS6" s="60"/>
      <c r="AT6" s="61"/>
      <c r="AU6" s="59"/>
      <c r="AV6" s="60"/>
      <c r="AW6" s="60"/>
      <c r="AX6" s="60"/>
      <c r="AY6" s="62"/>
      <c r="AZ6" s="60"/>
      <c r="BA6" s="61"/>
      <c r="BB6" s="59"/>
      <c r="BC6" s="60"/>
      <c r="BD6" s="60"/>
      <c r="BE6" s="60"/>
      <c r="BF6" s="60"/>
      <c r="BG6" s="60"/>
      <c r="BH6" s="61"/>
      <c r="BI6" s="59"/>
      <c r="BJ6" s="59"/>
      <c r="BK6" s="60"/>
      <c r="BL6" s="60"/>
      <c r="BM6" s="60"/>
      <c r="BN6" s="60"/>
      <c r="BO6" s="61"/>
      <c r="BP6" s="59"/>
      <c r="BQ6" s="60"/>
      <c r="BR6" s="60"/>
      <c r="BS6" s="60"/>
      <c r="BT6" s="60"/>
      <c r="BU6" s="60"/>
      <c r="BV6" s="61"/>
      <c r="BW6" s="59"/>
      <c r="BX6" s="60"/>
      <c r="BY6" s="60"/>
      <c r="BZ6" s="60"/>
      <c r="CA6" s="60"/>
      <c r="CB6" s="266"/>
    </row>
    <row r="7" spans="1:80" s="29" customFormat="1" ht="20.100000000000001" customHeight="1" thickBot="1">
      <c r="A7" s="121">
        <v>8</v>
      </c>
      <c r="B7" s="121">
        <v>1</v>
      </c>
      <c r="C7" s="121" t="s">
        <v>237</v>
      </c>
      <c r="D7" s="121">
        <v>9</v>
      </c>
      <c r="E7" s="307"/>
      <c r="F7" s="155" t="s">
        <v>238</v>
      </c>
      <c r="G7" s="122">
        <v>44084</v>
      </c>
      <c r="H7" s="247">
        <v>44088</v>
      </c>
      <c r="I7" s="122"/>
      <c r="J7" s="247"/>
      <c r="K7" s="123"/>
      <c r="L7" s="248"/>
      <c r="M7" s="145">
        <v>10</v>
      </c>
      <c r="N7" s="124"/>
      <c r="O7" s="125">
        <v>12</v>
      </c>
      <c r="P7" s="126"/>
      <c r="Q7" s="127"/>
      <c r="R7" s="249"/>
      <c r="S7" s="159"/>
      <c r="T7" s="160"/>
      <c r="U7" s="128"/>
      <c r="V7" s="129"/>
      <c r="W7" s="129"/>
      <c r="X7" s="129"/>
      <c r="Y7" s="130"/>
      <c r="Z7" s="131"/>
      <c r="AA7" s="129"/>
      <c r="AB7" s="129"/>
      <c r="AC7" s="129"/>
      <c r="AD7" s="129"/>
      <c r="AE7" s="129"/>
      <c r="AF7" s="130"/>
      <c r="AG7" s="131"/>
      <c r="AH7" s="129"/>
      <c r="AI7" s="129"/>
      <c r="AJ7" s="129"/>
      <c r="AK7" s="129"/>
      <c r="AL7" s="129"/>
      <c r="AM7" s="130"/>
      <c r="AN7" s="131"/>
      <c r="AO7" s="131"/>
      <c r="AP7" s="131"/>
      <c r="AQ7" s="129"/>
      <c r="AR7" s="129"/>
      <c r="AS7" s="129"/>
      <c r="AT7" s="130"/>
      <c r="AU7" s="131"/>
      <c r="AV7" s="129"/>
      <c r="AW7" s="129"/>
      <c r="AX7" s="129"/>
      <c r="AY7" s="132"/>
      <c r="AZ7" s="129"/>
      <c r="BA7" s="130"/>
      <c r="BB7" s="131"/>
      <c r="BC7" s="129"/>
      <c r="BD7" s="129"/>
      <c r="BE7" s="129"/>
      <c r="BF7" s="129"/>
      <c r="BG7" s="129"/>
      <c r="BH7" s="130"/>
      <c r="BI7" s="131"/>
      <c r="BJ7" s="131"/>
      <c r="BK7" s="129"/>
      <c r="BL7" s="129"/>
      <c r="BM7" s="129"/>
      <c r="BN7" s="129"/>
      <c r="BO7" s="130"/>
      <c r="BP7" s="131"/>
      <c r="BQ7" s="129"/>
      <c r="BR7" s="129"/>
      <c r="BS7" s="129"/>
      <c r="BT7" s="129"/>
      <c r="BU7" s="129"/>
      <c r="BV7" s="130"/>
      <c r="BW7" s="131"/>
      <c r="BX7" s="129"/>
      <c r="BY7" s="129"/>
      <c r="BZ7" s="129"/>
      <c r="CA7" s="129"/>
      <c r="CB7" s="267"/>
    </row>
    <row r="8" spans="1:80" s="29" customFormat="1" ht="20.100000000000001" customHeight="1" thickTop="1">
      <c r="A8" s="163">
        <v>4</v>
      </c>
      <c r="B8" s="163">
        <v>1</v>
      </c>
      <c r="C8" s="163"/>
      <c r="D8" s="163">
        <v>4</v>
      </c>
      <c r="E8" s="305" t="s">
        <v>139</v>
      </c>
      <c r="F8" s="164" t="s">
        <v>249</v>
      </c>
      <c r="G8" s="165">
        <v>44078</v>
      </c>
      <c r="H8" s="268">
        <v>44081</v>
      </c>
      <c r="I8" s="165"/>
      <c r="J8" s="268"/>
      <c r="K8" s="166"/>
      <c r="L8" s="269">
        <v>0</v>
      </c>
      <c r="M8" s="167"/>
      <c r="N8" s="168"/>
      <c r="O8" s="169">
        <v>7</v>
      </c>
      <c r="P8" s="170"/>
      <c r="Q8" s="171">
        <v>2</v>
      </c>
      <c r="R8" s="270">
        <v>2</v>
      </c>
      <c r="S8" s="172">
        <v>-2</v>
      </c>
      <c r="T8" s="173"/>
      <c r="U8" s="174"/>
      <c r="V8" s="175"/>
      <c r="W8" s="175"/>
      <c r="X8" s="175"/>
      <c r="Y8" s="176"/>
      <c r="Z8" s="177"/>
      <c r="AA8" s="175"/>
      <c r="AB8" s="175"/>
      <c r="AC8" s="175"/>
      <c r="AD8" s="175"/>
      <c r="AE8" s="175"/>
      <c r="AF8" s="176"/>
      <c r="AG8" s="177"/>
      <c r="AH8" s="175"/>
      <c r="AI8" s="175"/>
      <c r="AJ8" s="175"/>
      <c r="AK8" s="175"/>
      <c r="AL8" s="175"/>
      <c r="AM8" s="176"/>
      <c r="AN8" s="177"/>
      <c r="AO8" s="177"/>
      <c r="AP8" s="177"/>
      <c r="AQ8" s="175"/>
      <c r="AR8" s="175"/>
      <c r="AS8" s="175"/>
      <c r="AT8" s="176"/>
      <c r="AU8" s="177"/>
      <c r="AV8" s="175"/>
      <c r="AW8" s="175"/>
      <c r="AX8" s="175"/>
      <c r="AY8" s="178"/>
      <c r="AZ8" s="175"/>
      <c r="BA8" s="176"/>
      <c r="BB8" s="177"/>
      <c r="BC8" s="175"/>
      <c r="BD8" s="175"/>
      <c r="BE8" s="175"/>
      <c r="BF8" s="175"/>
      <c r="BG8" s="175"/>
      <c r="BH8" s="176"/>
      <c r="BI8" s="177"/>
      <c r="BJ8" s="177"/>
      <c r="BK8" s="175"/>
      <c r="BL8" s="175"/>
      <c r="BM8" s="175"/>
      <c r="BN8" s="175"/>
      <c r="BO8" s="176"/>
      <c r="BP8" s="177"/>
      <c r="BQ8" s="175"/>
      <c r="BR8" s="175"/>
      <c r="BS8" s="175"/>
      <c r="BT8" s="175"/>
      <c r="BU8" s="175"/>
      <c r="BV8" s="176"/>
      <c r="BW8" s="177"/>
      <c r="BX8" s="175"/>
      <c r="BY8" s="175"/>
      <c r="BZ8" s="175"/>
      <c r="CA8" s="175"/>
      <c r="CB8" s="271"/>
    </row>
    <row r="9" spans="1:80" s="29" customFormat="1" ht="20.100000000000001" customHeight="1">
      <c r="A9" s="239">
        <v>9</v>
      </c>
      <c r="B9" s="239">
        <v>1</v>
      </c>
      <c r="C9" s="239"/>
      <c r="D9" s="239">
        <v>12</v>
      </c>
      <c r="E9" s="306"/>
      <c r="F9" s="240" t="s">
        <v>283</v>
      </c>
      <c r="G9" s="24">
        <v>44088</v>
      </c>
      <c r="H9" s="241">
        <v>44090</v>
      </c>
      <c r="I9" s="24"/>
      <c r="J9" s="241"/>
      <c r="K9" s="27"/>
      <c r="L9" s="242">
        <v>0</v>
      </c>
      <c r="M9" s="243"/>
      <c r="N9" s="244"/>
      <c r="O9" s="112">
        <v>12</v>
      </c>
      <c r="P9" s="113"/>
      <c r="Q9" s="114">
        <v>3</v>
      </c>
      <c r="R9" s="245">
        <v>8</v>
      </c>
      <c r="S9" s="246">
        <v>-8</v>
      </c>
      <c r="T9" s="157"/>
      <c r="U9" s="83"/>
      <c r="V9" s="60"/>
      <c r="W9" s="60"/>
      <c r="X9" s="60"/>
      <c r="Y9" s="61"/>
      <c r="Z9" s="59"/>
      <c r="AA9" s="60"/>
      <c r="AB9" s="60"/>
      <c r="AC9" s="60"/>
      <c r="AD9" s="60"/>
      <c r="AE9" s="60"/>
      <c r="AF9" s="61"/>
      <c r="AG9" s="59"/>
      <c r="AH9" s="60"/>
      <c r="AI9" s="60"/>
      <c r="AJ9" s="60"/>
      <c r="AK9" s="60"/>
      <c r="AL9" s="60"/>
      <c r="AM9" s="61"/>
      <c r="AN9" s="59"/>
      <c r="AO9" s="59"/>
      <c r="AP9" s="59"/>
      <c r="AQ9" s="60"/>
      <c r="AR9" s="60"/>
      <c r="AS9" s="60"/>
      <c r="AT9" s="61"/>
      <c r="AU9" s="59"/>
      <c r="AV9" s="60"/>
      <c r="AW9" s="60"/>
      <c r="AX9" s="60"/>
      <c r="AY9" s="62"/>
      <c r="AZ9" s="60"/>
      <c r="BA9" s="61"/>
      <c r="BB9" s="59"/>
      <c r="BC9" s="60"/>
      <c r="BD9" s="60"/>
      <c r="BE9" s="60"/>
      <c r="BF9" s="60"/>
      <c r="BG9" s="60"/>
      <c r="BH9" s="61"/>
      <c r="BI9" s="59"/>
      <c r="BJ9" s="59"/>
      <c r="BK9" s="60"/>
      <c r="BL9" s="60"/>
      <c r="BM9" s="60"/>
      <c r="BN9" s="60"/>
      <c r="BO9" s="61"/>
      <c r="BP9" s="59"/>
      <c r="BQ9" s="60"/>
      <c r="BR9" s="60"/>
      <c r="BS9" s="60"/>
      <c r="BT9" s="60"/>
      <c r="BU9" s="60"/>
      <c r="BV9" s="61"/>
      <c r="BW9" s="59"/>
      <c r="BX9" s="60"/>
      <c r="BY9" s="60"/>
      <c r="BZ9" s="60"/>
      <c r="CA9" s="60"/>
      <c r="CB9" s="266"/>
    </row>
    <row r="10" spans="1:80" s="29" customFormat="1" ht="20.100000000000001" customHeight="1" thickBot="1">
      <c r="A10" s="121">
        <v>13</v>
      </c>
      <c r="B10" s="121">
        <v>1</v>
      </c>
      <c r="C10" s="121"/>
      <c r="D10" s="121">
        <v>16</v>
      </c>
      <c r="E10" s="307"/>
      <c r="F10" s="155" t="s">
        <v>239</v>
      </c>
      <c r="G10" s="122">
        <v>44091</v>
      </c>
      <c r="H10" s="247">
        <v>44097</v>
      </c>
      <c r="I10" s="122"/>
      <c r="J10" s="247"/>
      <c r="K10" s="123"/>
      <c r="L10" s="248">
        <v>0</v>
      </c>
      <c r="M10" s="145"/>
      <c r="N10" s="124"/>
      <c r="O10" s="125">
        <v>19</v>
      </c>
      <c r="P10" s="126"/>
      <c r="Q10" s="127">
        <v>5</v>
      </c>
      <c r="R10" s="249">
        <v>5</v>
      </c>
      <c r="S10" s="159">
        <v>-5</v>
      </c>
      <c r="T10" s="160"/>
      <c r="U10" s="128"/>
      <c r="V10" s="129"/>
      <c r="W10" s="129"/>
      <c r="X10" s="129"/>
      <c r="Y10" s="130"/>
      <c r="Z10" s="131"/>
      <c r="AA10" s="129"/>
      <c r="AB10" s="129"/>
      <c r="AC10" s="129"/>
      <c r="AD10" s="129"/>
      <c r="AE10" s="129"/>
      <c r="AF10" s="130"/>
      <c r="AG10" s="131"/>
      <c r="AH10" s="129"/>
      <c r="AI10" s="129"/>
      <c r="AJ10" s="129"/>
      <c r="AK10" s="129"/>
      <c r="AL10" s="129"/>
      <c r="AM10" s="130"/>
      <c r="AN10" s="131"/>
      <c r="AO10" s="131"/>
      <c r="AP10" s="131"/>
      <c r="AQ10" s="129"/>
      <c r="AR10" s="129"/>
      <c r="AS10" s="129"/>
      <c r="AT10" s="130"/>
      <c r="AU10" s="131"/>
      <c r="AV10" s="129"/>
      <c r="AW10" s="129"/>
      <c r="AX10" s="129"/>
      <c r="AY10" s="132"/>
      <c r="AZ10" s="129"/>
      <c r="BA10" s="130"/>
      <c r="BB10" s="131"/>
      <c r="BC10" s="129"/>
      <c r="BD10" s="129"/>
      <c r="BE10" s="129"/>
      <c r="BF10" s="129"/>
      <c r="BG10" s="129"/>
      <c r="BH10" s="130"/>
      <c r="BI10" s="131"/>
      <c r="BJ10" s="131"/>
      <c r="BK10" s="129"/>
      <c r="BL10" s="129"/>
      <c r="BM10" s="129"/>
      <c r="BN10" s="129"/>
      <c r="BO10" s="130"/>
      <c r="BP10" s="131"/>
      <c r="BQ10" s="129"/>
      <c r="BR10" s="129"/>
      <c r="BS10" s="129"/>
      <c r="BT10" s="129"/>
      <c r="BU10" s="129"/>
      <c r="BV10" s="130"/>
      <c r="BW10" s="131"/>
      <c r="BX10" s="129"/>
      <c r="BY10" s="129"/>
      <c r="BZ10" s="129"/>
      <c r="CA10" s="129"/>
      <c r="CB10" s="267"/>
    </row>
    <row r="11" spans="1:80" s="29" customFormat="1" ht="20.100000000000001" customHeight="1" thickTop="1">
      <c r="A11" s="163">
        <v>5</v>
      </c>
      <c r="B11" s="163">
        <v>1</v>
      </c>
      <c r="C11" s="163"/>
      <c r="D11" s="163">
        <v>5</v>
      </c>
      <c r="E11" s="305" t="s">
        <v>143</v>
      </c>
      <c r="F11" s="164" t="s">
        <v>251</v>
      </c>
      <c r="G11" s="165">
        <v>44081</v>
      </c>
      <c r="H11" s="268">
        <v>44083</v>
      </c>
      <c r="I11" s="165"/>
      <c r="J11" s="268"/>
      <c r="K11" s="166"/>
      <c r="L11" s="269">
        <v>0</v>
      </c>
      <c r="M11" s="167"/>
      <c r="N11" s="168"/>
      <c r="O11" s="169">
        <v>7</v>
      </c>
      <c r="P11" s="170"/>
      <c r="Q11" s="171">
        <v>3</v>
      </c>
      <c r="R11" s="270">
        <v>1</v>
      </c>
      <c r="S11" s="172">
        <v>-1</v>
      </c>
      <c r="T11" s="173"/>
      <c r="U11" s="174"/>
      <c r="V11" s="175"/>
      <c r="W11" s="175"/>
      <c r="X11" s="175"/>
      <c r="Y11" s="176"/>
      <c r="Z11" s="177"/>
      <c r="AA11" s="175"/>
      <c r="AB11" s="175"/>
      <c r="AC11" s="175"/>
      <c r="AD11" s="175"/>
      <c r="AE11" s="175"/>
      <c r="AF11" s="176"/>
      <c r="AG11" s="177"/>
      <c r="AH11" s="175"/>
      <c r="AI11" s="175"/>
      <c r="AJ11" s="175"/>
      <c r="AK11" s="175"/>
      <c r="AL11" s="175"/>
      <c r="AM11" s="176"/>
      <c r="AN11" s="177"/>
      <c r="AO11" s="177"/>
      <c r="AP11" s="177"/>
      <c r="AQ11" s="175"/>
      <c r="AR11" s="175"/>
      <c r="AS11" s="175"/>
      <c r="AT11" s="176"/>
      <c r="AU11" s="177"/>
      <c r="AV11" s="175"/>
      <c r="AW11" s="175"/>
      <c r="AX11" s="175"/>
      <c r="AY11" s="178"/>
      <c r="AZ11" s="175"/>
      <c r="BA11" s="176"/>
      <c r="BB11" s="177"/>
      <c r="BC11" s="175"/>
      <c r="BD11" s="175"/>
      <c r="BE11" s="175"/>
      <c r="BF11" s="175"/>
      <c r="BG11" s="175"/>
      <c r="BH11" s="176"/>
      <c r="BI11" s="177"/>
      <c r="BJ11" s="177"/>
      <c r="BK11" s="175"/>
      <c r="BL11" s="175"/>
      <c r="BM11" s="175"/>
      <c r="BN11" s="175"/>
      <c r="BO11" s="176"/>
      <c r="BP11" s="177"/>
      <c r="BQ11" s="175"/>
      <c r="BR11" s="175"/>
      <c r="BS11" s="175"/>
      <c r="BT11" s="175"/>
      <c r="BU11" s="175"/>
      <c r="BV11" s="176"/>
      <c r="BW11" s="177"/>
      <c r="BX11" s="175"/>
      <c r="BY11" s="175"/>
      <c r="BZ11" s="175"/>
      <c r="CA11" s="175"/>
      <c r="CB11" s="271"/>
    </row>
    <row r="12" spans="1:80" s="29" customFormat="1" ht="20.100000000000001" customHeight="1" thickBot="1">
      <c r="A12" s="121">
        <v>10</v>
      </c>
      <c r="B12" s="121">
        <v>1</v>
      </c>
      <c r="C12" s="121"/>
      <c r="D12" s="121">
        <v>13</v>
      </c>
      <c r="E12" s="307"/>
      <c r="F12" s="155" t="s">
        <v>240</v>
      </c>
      <c r="G12" s="122">
        <v>44091</v>
      </c>
      <c r="H12" s="247">
        <v>44092</v>
      </c>
      <c r="I12" s="122"/>
      <c r="J12" s="247"/>
      <c r="K12" s="123"/>
      <c r="L12" s="248">
        <v>0</v>
      </c>
      <c r="M12" s="145"/>
      <c r="N12" s="124"/>
      <c r="O12" s="125">
        <v>12</v>
      </c>
      <c r="P12" s="126"/>
      <c r="Q12" s="127">
        <v>2</v>
      </c>
      <c r="R12" s="249">
        <v>5</v>
      </c>
      <c r="S12" s="159">
        <v>-5</v>
      </c>
      <c r="T12" s="160"/>
      <c r="U12" s="128"/>
      <c r="V12" s="129"/>
      <c r="W12" s="129"/>
      <c r="X12" s="129"/>
      <c r="Y12" s="130"/>
      <c r="Z12" s="131"/>
      <c r="AA12" s="129"/>
      <c r="AB12" s="129"/>
      <c r="AC12" s="129"/>
      <c r="AD12" s="129"/>
      <c r="AE12" s="129"/>
      <c r="AF12" s="130"/>
      <c r="AG12" s="131"/>
      <c r="AH12" s="129"/>
      <c r="AI12" s="129"/>
      <c r="AJ12" s="129"/>
      <c r="AK12" s="129"/>
      <c r="AL12" s="129"/>
      <c r="AM12" s="130"/>
      <c r="AN12" s="131"/>
      <c r="AO12" s="131"/>
      <c r="AP12" s="131"/>
      <c r="AQ12" s="129"/>
      <c r="AR12" s="129"/>
      <c r="AS12" s="129"/>
      <c r="AT12" s="130"/>
      <c r="AU12" s="131"/>
      <c r="AV12" s="129"/>
      <c r="AW12" s="129"/>
      <c r="AX12" s="129"/>
      <c r="AY12" s="132"/>
      <c r="AZ12" s="129"/>
      <c r="BA12" s="130"/>
      <c r="BB12" s="131"/>
      <c r="BC12" s="129"/>
      <c r="BD12" s="129"/>
      <c r="BE12" s="129"/>
      <c r="BF12" s="129"/>
      <c r="BG12" s="129"/>
      <c r="BH12" s="130"/>
      <c r="BI12" s="131"/>
      <c r="BJ12" s="131"/>
      <c r="BK12" s="129"/>
      <c r="BL12" s="129"/>
      <c r="BM12" s="129"/>
      <c r="BN12" s="129"/>
      <c r="BO12" s="130"/>
      <c r="BP12" s="131"/>
      <c r="BQ12" s="129"/>
      <c r="BR12" s="129"/>
      <c r="BS12" s="129"/>
      <c r="BT12" s="129"/>
      <c r="BU12" s="129"/>
      <c r="BV12" s="130"/>
      <c r="BW12" s="131"/>
      <c r="BX12" s="129"/>
      <c r="BY12" s="129"/>
      <c r="BZ12" s="129"/>
      <c r="CA12" s="129"/>
      <c r="CB12" s="267"/>
    </row>
    <row r="13" spans="1:80" s="29" customFormat="1" ht="20.100000000000001" customHeight="1" thickTop="1" thickBot="1">
      <c r="A13" s="179">
        <v>8</v>
      </c>
      <c r="B13" s="179">
        <v>1</v>
      </c>
      <c r="C13" s="179" t="s">
        <v>237</v>
      </c>
      <c r="D13" s="179">
        <v>10</v>
      </c>
      <c r="E13" s="180" t="s">
        <v>136</v>
      </c>
      <c r="F13" s="181" t="s">
        <v>238</v>
      </c>
      <c r="G13" s="182">
        <v>44084</v>
      </c>
      <c r="H13" s="272">
        <v>44088</v>
      </c>
      <c r="I13" s="182"/>
      <c r="J13" s="272"/>
      <c r="K13" s="183"/>
      <c r="L13" s="273"/>
      <c r="M13" s="184">
        <v>10</v>
      </c>
      <c r="N13" s="185"/>
      <c r="O13" s="186">
        <v>12</v>
      </c>
      <c r="P13" s="187"/>
      <c r="Q13" s="188"/>
      <c r="R13" s="274"/>
      <c r="S13" s="189"/>
      <c r="T13" s="190"/>
      <c r="U13" s="191"/>
      <c r="V13" s="192"/>
      <c r="W13" s="192"/>
      <c r="X13" s="192"/>
      <c r="Y13" s="193"/>
      <c r="Z13" s="194"/>
      <c r="AA13" s="192"/>
      <c r="AB13" s="192"/>
      <c r="AC13" s="192"/>
      <c r="AD13" s="192"/>
      <c r="AE13" s="192"/>
      <c r="AF13" s="193"/>
      <c r="AG13" s="194"/>
      <c r="AH13" s="192"/>
      <c r="AI13" s="192"/>
      <c r="AJ13" s="192"/>
      <c r="AK13" s="192"/>
      <c r="AL13" s="192"/>
      <c r="AM13" s="193"/>
      <c r="AN13" s="194"/>
      <c r="AO13" s="194"/>
      <c r="AP13" s="194"/>
      <c r="AQ13" s="192"/>
      <c r="AR13" s="192"/>
      <c r="AS13" s="192"/>
      <c r="AT13" s="193"/>
      <c r="AU13" s="194"/>
      <c r="AV13" s="192"/>
      <c r="AW13" s="192"/>
      <c r="AX13" s="192"/>
      <c r="AY13" s="195"/>
      <c r="AZ13" s="192"/>
      <c r="BA13" s="193"/>
      <c r="BB13" s="194"/>
      <c r="BC13" s="192"/>
      <c r="BD13" s="192"/>
      <c r="BE13" s="192"/>
      <c r="BF13" s="192"/>
      <c r="BG13" s="192"/>
      <c r="BH13" s="193"/>
      <c r="BI13" s="194"/>
      <c r="BJ13" s="194"/>
      <c r="BK13" s="192"/>
      <c r="BL13" s="192"/>
      <c r="BM13" s="192"/>
      <c r="BN13" s="192"/>
      <c r="BO13" s="193"/>
      <c r="BP13" s="194"/>
      <c r="BQ13" s="192"/>
      <c r="BR13" s="192"/>
      <c r="BS13" s="192"/>
      <c r="BT13" s="192"/>
      <c r="BU13" s="192"/>
      <c r="BV13" s="193"/>
      <c r="BW13" s="194"/>
      <c r="BX13" s="192"/>
      <c r="BY13" s="192"/>
      <c r="BZ13" s="192"/>
      <c r="CA13" s="192"/>
      <c r="CB13" s="275"/>
    </row>
    <row r="14" spans="1:80" s="29" customFormat="1" ht="20.100000000000001" customHeight="1" thickTop="1" thickBot="1">
      <c r="A14" s="179">
        <v>8</v>
      </c>
      <c r="B14" s="179">
        <v>1</v>
      </c>
      <c r="C14" s="179" t="s">
        <v>237</v>
      </c>
      <c r="D14" s="179">
        <v>11</v>
      </c>
      <c r="E14" s="180" t="s">
        <v>147</v>
      </c>
      <c r="F14" s="181" t="s">
        <v>238</v>
      </c>
      <c r="G14" s="182">
        <v>44084</v>
      </c>
      <c r="H14" s="272">
        <v>44088</v>
      </c>
      <c r="I14" s="182"/>
      <c r="J14" s="272"/>
      <c r="K14" s="183"/>
      <c r="L14" s="273"/>
      <c r="M14" s="184">
        <v>80</v>
      </c>
      <c r="N14" s="185"/>
      <c r="O14" s="186">
        <v>12</v>
      </c>
      <c r="P14" s="187"/>
      <c r="Q14" s="188"/>
      <c r="R14" s="274"/>
      <c r="S14" s="189"/>
      <c r="T14" s="190"/>
      <c r="U14" s="191"/>
      <c r="V14" s="192"/>
      <c r="W14" s="192"/>
      <c r="X14" s="192"/>
      <c r="Y14" s="193"/>
      <c r="Z14" s="194"/>
      <c r="AA14" s="192"/>
      <c r="AB14" s="192"/>
      <c r="AC14" s="192"/>
      <c r="AD14" s="192"/>
      <c r="AE14" s="192"/>
      <c r="AF14" s="193"/>
      <c r="AG14" s="194"/>
      <c r="AH14" s="192"/>
      <c r="AI14" s="192"/>
      <c r="AJ14" s="192"/>
      <c r="AK14" s="192"/>
      <c r="AL14" s="192"/>
      <c r="AM14" s="193"/>
      <c r="AN14" s="194"/>
      <c r="AO14" s="194"/>
      <c r="AP14" s="194"/>
      <c r="AQ14" s="192"/>
      <c r="AR14" s="192"/>
      <c r="AS14" s="192"/>
      <c r="AT14" s="193"/>
      <c r="AU14" s="194"/>
      <c r="AV14" s="192"/>
      <c r="AW14" s="192"/>
      <c r="AX14" s="192"/>
      <c r="AY14" s="195"/>
      <c r="AZ14" s="192"/>
      <c r="BA14" s="193"/>
      <c r="BB14" s="194"/>
      <c r="BC14" s="192"/>
      <c r="BD14" s="192"/>
      <c r="BE14" s="192"/>
      <c r="BF14" s="192"/>
      <c r="BG14" s="192"/>
      <c r="BH14" s="193"/>
      <c r="BI14" s="194"/>
      <c r="BJ14" s="194"/>
      <c r="BK14" s="192"/>
      <c r="BL14" s="192"/>
      <c r="BM14" s="192"/>
      <c r="BN14" s="192"/>
      <c r="BO14" s="193"/>
      <c r="BP14" s="194"/>
      <c r="BQ14" s="192"/>
      <c r="BR14" s="192"/>
      <c r="BS14" s="192"/>
      <c r="BT14" s="192"/>
      <c r="BU14" s="192"/>
      <c r="BV14" s="193"/>
      <c r="BW14" s="194"/>
      <c r="BX14" s="192"/>
      <c r="BY14" s="192"/>
      <c r="BZ14" s="192"/>
      <c r="CA14" s="192"/>
      <c r="CB14" s="275"/>
    </row>
    <row r="15" spans="1:80" s="29" customFormat="1" ht="20.100000000000001" customHeight="1" thickTop="1" thickBot="1">
      <c r="A15" s="179">
        <v>14</v>
      </c>
      <c r="B15" s="179">
        <v>1</v>
      </c>
      <c r="C15" s="179"/>
      <c r="D15" s="179">
        <v>17</v>
      </c>
      <c r="E15" s="180" t="s">
        <v>142</v>
      </c>
      <c r="F15" s="181" t="s">
        <v>253</v>
      </c>
      <c r="G15" s="182">
        <v>44097</v>
      </c>
      <c r="H15" s="272">
        <v>44098</v>
      </c>
      <c r="I15" s="182"/>
      <c r="J15" s="272"/>
      <c r="K15" s="183"/>
      <c r="L15" s="273">
        <v>0</v>
      </c>
      <c r="M15" s="184"/>
      <c r="N15" s="185"/>
      <c r="O15" s="186">
        <v>19</v>
      </c>
      <c r="P15" s="187"/>
      <c r="Q15" s="188">
        <v>2</v>
      </c>
      <c r="R15" s="274">
        <v>1</v>
      </c>
      <c r="S15" s="189">
        <v>-1</v>
      </c>
      <c r="T15" s="190"/>
      <c r="U15" s="191"/>
      <c r="V15" s="192"/>
      <c r="W15" s="192"/>
      <c r="X15" s="192"/>
      <c r="Y15" s="193"/>
      <c r="Z15" s="194"/>
      <c r="AA15" s="192"/>
      <c r="AB15" s="192"/>
      <c r="AC15" s="192"/>
      <c r="AD15" s="192"/>
      <c r="AE15" s="192"/>
      <c r="AF15" s="193"/>
      <c r="AG15" s="194"/>
      <c r="AH15" s="192"/>
      <c r="AI15" s="192"/>
      <c r="AJ15" s="192"/>
      <c r="AK15" s="192"/>
      <c r="AL15" s="192"/>
      <c r="AM15" s="193"/>
      <c r="AN15" s="194"/>
      <c r="AO15" s="194"/>
      <c r="AP15" s="194"/>
      <c r="AQ15" s="192"/>
      <c r="AR15" s="192"/>
      <c r="AS15" s="192"/>
      <c r="AT15" s="193"/>
      <c r="AU15" s="194"/>
      <c r="AV15" s="192"/>
      <c r="AW15" s="192"/>
      <c r="AX15" s="192"/>
      <c r="AY15" s="195"/>
      <c r="AZ15" s="192"/>
      <c r="BA15" s="193"/>
      <c r="BB15" s="194"/>
      <c r="BC15" s="192"/>
      <c r="BD15" s="192"/>
      <c r="BE15" s="192"/>
      <c r="BF15" s="192"/>
      <c r="BG15" s="192"/>
      <c r="BH15" s="193"/>
      <c r="BI15" s="194"/>
      <c r="BJ15" s="194"/>
      <c r="BK15" s="192"/>
      <c r="BL15" s="192"/>
      <c r="BM15" s="192"/>
      <c r="BN15" s="192"/>
      <c r="BO15" s="193"/>
      <c r="BP15" s="194"/>
      <c r="BQ15" s="192"/>
      <c r="BR15" s="192"/>
      <c r="BS15" s="192"/>
      <c r="BT15" s="192"/>
      <c r="BU15" s="192"/>
      <c r="BV15" s="193"/>
      <c r="BW15" s="194"/>
      <c r="BX15" s="192"/>
      <c r="BY15" s="192"/>
      <c r="BZ15" s="192"/>
      <c r="CA15" s="192"/>
      <c r="CB15" s="275"/>
    </row>
    <row r="16" spans="1:80" ht="20.100000000000001" customHeight="1" thickTop="1"/>
  </sheetData>
  <sheetProtection formatColumns="0" formatRows="0" autoFilter="0"/>
  <mergeCells count="16">
    <mergeCell ref="E8:E10"/>
    <mergeCell ref="E11:E12"/>
    <mergeCell ref="U3:AX3"/>
    <mergeCell ref="AY3:CB3"/>
    <mergeCell ref="T2:T3"/>
    <mergeCell ref="A5:F5"/>
    <mergeCell ref="E6:E7"/>
    <mergeCell ref="C2:C3"/>
    <mergeCell ref="N2:N3"/>
    <mergeCell ref="S2:S3"/>
    <mergeCell ref="A2:A3"/>
    <mergeCell ref="B2:B3"/>
    <mergeCell ref="D2:D3"/>
    <mergeCell ref="M2:M3"/>
    <mergeCell ref="F2:F3"/>
    <mergeCell ref="E2:E3"/>
  </mergeCells>
  <phoneticPr fontId="22"/>
  <conditionalFormatting sqref="F6:T15">
    <cfRule type="expression" dxfId="1" priority="2">
      <formula>CELL("row")=ROW()</formula>
    </cfRule>
  </conditionalFormatting>
  <conditionalFormatting sqref="U4:CB15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60</vt:i4>
      </vt:variant>
    </vt:vector>
  </HeadingPairs>
  <TitlesOfParts>
    <vt:vector size="63" baseType="lpstr">
      <vt:lpstr>Help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2020-09-29T00:01:29Z</dcterms:modified>
</cp:coreProperties>
</file>